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AntigravityProjects\20261010 SkyblockTracker\"/>
    </mc:Choice>
  </mc:AlternateContent>
  <xr:revisionPtr revIDLastSave="0" documentId="13_ncr:1_{7110F2B9-2ADC-4699-A361-D8AAB62F3061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Estimation" sheetId="11" r:id="rId1"/>
    <sheet name="FlipCal" sheetId="7" r:id="rId2"/>
    <sheet name="GemName" sheetId="5" r:id="rId3"/>
    <sheet name="ResolveSwagger" sheetId="14" r:id="rId4"/>
    <sheet name="SwaggerAPI" sheetId="13" r:id="rId5"/>
  </sheets>
  <definedNames>
    <definedName name="_xlnm._FilterDatabase" localSheetId="0" hidden="1">Estimation!$A$2:$U$38</definedName>
    <definedName name="_xlnm._FilterDatabase" localSheetId="3" hidden="1">ResolveSwagger!$A$1:$N$63</definedName>
    <definedName name="ExternalData_2" localSheetId="4" hidden="1">SwaggerAPI!$A$1:$H$63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wagger  2_d109b731-fbcc-4ce3-ad7c-8dbf8bfcde97" name="Swagger  2" connection="查询 - Swagger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2" i="14" l="1"/>
  <c r="G62" i="14"/>
  <c r="H62" i="14"/>
  <c r="I62" i="14"/>
  <c r="J62" i="14"/>
  <c r="K62" i="14"/>
  <c r="L62" i="14"/>
  <c r="M62" i="14" s="1"/>
  <c r="F63" i="14"/>
  <c r="G63" i="14"/>
  <c r="H63" i="14"/>
  <c r="I63" i="14"/>
  <c r="J63" i="14"/>
  <c r="K63" i="14"/>
  <c r="L63" i="14"/>
  <c r="M63" i="14" s="1"/>
  <c r="E61" i="14"/>
  <c r="F61" i="14" s="1"/>
  <c r="E60" i="14"/>
  <c r="F60" i="14" s="1"/>
  <c r="E59" i="14"/>
  <c r="F59" i="14" s="1"/>
  <c r="E58" i="14"/>
  <c r="F58" i="14" s="1"/>
  <c r="E57" i="14"/>
  <c r="F57" i="14" s="1"/>
  <c r="E56" i="14"/>
  <c r="F56" i="14" s="1"/>
  <c r="E55" i="14"/>
  <c r="J55" i="14" s="1"/>
  <c r="E54" i="14"/>
  <c r="F54" i="14" s="1"/>
  <c r="E53" i="14"/>
  <c r="F53" i="14" s="1"/>
  <c r="E52" i="14"/>
  <c r="G52" i="14" s="1"/>
  <c r="E51" i="14"/>
  <c r="F51" i="14" s="1"/>
  <c r="E50" i="14"/>
  <c r="F50" i="14" s="1"/>
  <c r="D4" i="7" s="1"/>
  <c r="E49" i="14"/>
  <c r="F49" i="14" s="1"/>
  <c r="H3" i="11" s="1"/>
  <c r="E48" i="14"/>
  <c r="K48" i="14" s="1"/>
  <c r="E47" i="14"/>
  <c r="F47" i="14" s="1"/>
  <c r="H33" i="11" s="1"/>
  <c r="E46" i="14"/>
  <c r="F46" i="14" s="1"/>
  <c r="H32" i="11" s="1"/>
  <c r="J32" i="11" s="1"/>
  <c r="E45" i="14"/>
  <c r="H45" i="14" s="1"/>
  <c r="E44" i="14"/>
  <c r="F44" i="14" s="1"/>
  <c r="H18" i="11" s="1"/>
  <c r="E43" i="14"/>
  <c r="F43" i="14" s="1"/>
  <c r="H27" i="11" s="1"/>
  <c r="E42" i="14"/>
  <c r="F42" i="14" s="1"/>
  <c r="H36" i="11" s="1"/>
  <c r="E41" i="14"/>
  <c r="L41" i="14" s="1"/>
  <c r="M41" i="14" s="1"/>
  <c r="E40" i="14"/>
  <c r="F40" i="14" s="1"/>
  <c r="H20" i="11" s="1"/>
  <c r="E39" i="14"/>
  <c r="F39" i="14" s="1"/>
  <c r="H10" i="11" s="1"/>
  <c r="E38" i="14"/>
  <c r="I38" i="14" s="1"/>
  <c r="H5" i="7" s="1"/>
  <c r="E37" i="14"/>
  <c r="F37" i="14" s="1"/>
  <c r="H5" i="11" s="1"/>
  <c r="E36" i="14"/>
  <c r="F36" i="14" s="1"/>
  <c r="H17" i="11" s="1"/>
  <c r="E35" i="14"/>
  <c r="F35" i="14" s="1"/>
  <c r="H35" i="11" s="1"/>
  <c r="E34" i="14"/>
  <c r="F34" i="14" s="1"/>
  <c r="H34" i="11" s="1"/>
  <c r="E33" i="14"/>
  <c r="F33" i="14" s="1"/>
  <c r="H13" i="11" s="1"/>
  <c r="E32" i="14"/>
  <c r="F32" i="14" s="1"/>
  <c r="H22" i="11" s="1"/>
  <c r="E31" i="14"/>
  <c r="J31" i="14" s="1"/>
  <c r="E30" i="14"/>
  <c r="F30" i="14" s="1"/>
  <c r="H37" i="11" s="1"/>
  <c r="J37" i="11" s="1"/>
  <c r="E29" i="14"/>
  <c r="F29" i="14" s="1"/>
  <c r="H28" i="11" s="1"/>
  <c r="E28" i="14"/>
  <c r="G28" i="14" s="1"/>
  <c r="I19" i="11" s="1"/>
  <c r="E27" i="14"/>
  <c r="F27" i="14" s="1"/>
  <c r="H11" i="11" s="1"/>
  <c r="E26" i="14"/>
  <c r="F26" i="14" s="1"/>
  <c r="H7" i="11" s="1"/>
  <c r="E25" i="14"/>
  <c r="F25" i="14" s="1"/>
  <c r="H8" i="11" s="1"/>
  <c r="J8" i="11" s="1"/>
  <c r="E24" i="14"/>
  <c r="K24" i="14" s="1"/>
  <c r="E23" i="14"/>
  <c r="F23" i="14" s="1"/>
  <c r="H31" i="11" s="1"/>
  <c r="J31" i="11" s="1"/>
  <c r="E22" i="14"/>
  <c r="F22" i="14" s="1"/>
  <c r="H25" i="11" s="1"/>
  <c r="J25" i="11" s="1"/>
  <c r="E21" i="14"/>
  <c r="H21" i="14" s="1"/>
  <c r="E20" i="14"/>
  <c r="F20" i="14" s="1"/>
  <c r="H23" i="11" s="1"/>
  <c r="E19" i="14"/>
  <c r="F19" i="14" s="1"/>
  <c r="H24" i="11" s="1"/>
  <c r="E18" i="14"/>
  <c r="F18" i="14" s="1"/>
  <c r="H38" i="11" s="1"/>
  <c r="J38" i="11" s="1"/>
  <c r="E17" i="14"/>
  <c r="L17" i="14" s="1"/>
  <c r="M17" i="14" s="1"/>
  <c r="E16" i="14"/>
  <c r="F16" i="14" s="1"/>
  <c r="H21" i="11" s="1"/>
  <c r="E15" i="14"/>
  <c r="F15" i="14" s="1"/>
  <c r="E14" i="14"/>
  <c r="I14" i="14" s="1"/>
  <c r="H7" i="7" s="1"/>
  <c r="E13" i="14"/>
  <c r="F13" i="14" s="1"/>
  <c r="M5" i="11" s="1"/>
  <c r="E12" i="14"/>
  <c r="F12" i="14" s="1"/>
  <c r="M15" i="11" s="1"/>
  <c r="E11" i="14"/>
  <c r="F11" i="14" s="1"/>
  <c r="M31" i="11" s="1"/>
  <c r="E10" i="14"/>
  <c r="F10" i="14" s="1"/>
  <c r="M34" i="11" s="1"/>
  <c r="E9" i="14"/>
  <c r="F9" i="14" s="1"/>
  <c r="M13" i="11" s="1"/>
  <c r="E8" i="14"/>
  <c r="F8" i="14" s="1"/>
  <c r="M22" i="11" s="1"/>
  <c r="E7" i="14"/>
  <c r="J7" i="14" s="1"/>
  <c r="E6" i="14"/>
  <c r="F6" i="14" s="1"/>
  <c r="M38" i="11" s="1"/>
  <c r="E5" i="14"/>
  <c r="F5" i="14" s="1"/>
  <c r="M28" i="11" s="1"/>
  <c r="E4" i="14"/>
  <c r="G4" i="14" s="1"/>
  <c r="N20" i="11" s="1"/>
  <c r="E3" i="14"/>
  <c r="F3" i="14" s="1"/>
  <c r="M10" i="11" s="1"/>
  <c r="E2" i="14"/>
  <c r="L2" i="14" s="1"/>
  <c r="F14" i="7"/>
  <c r="C8" i="7"/>
  <c r="C7" i="7"/>
  <c r="C6" i="7"/>
  <c r="C5" i="7"/>
  <c r="C4" i="7"/>
  <c r="I14" i="7"/>
  <c r="I13" i="7"/>
  <c r="C18" i="7"/>
  <c r="C21" i="7" s="1"/>
  <c r="N63" i="14" l="1"/>
  <c r="N62" i="14"/>
  <c r="K8" i="7"/>
  <c r="M2" i="14"/>
  <c r="L58" i="14"/>
  <c r="M58" i="14" s="1"/>
  <c r="I55" i="14"/>
  <c r="F52" i="14"/>
  <c r="J48" i="14"/>
  <c r="G45" i="14"/>
  <c r="I14" i="11" s="1"/>
  <c r="K14" i="11" s="1"/>
  <c r="K41" i="14"/>
  <c r="H38" i="14"/>
  <c r="G5" i="7" s="1"/>
  <c r="L34" i="14"/>
  <c r="M34" i="14" s="1"/>
  <c r="I31" i="14"/>
  <c r="F28" i="14"/>
  <c r="H19" i="11" s="1"/>
  <c r="J19" i="11" s="1"/>
  <c r="J24" i="14"/>
  <c r="G21" i="14"/>
  <c r="I12" i="11" s="1"/>
  <c r="K12" i="11" s="1"/>
  <c r="K17" i="14"/>
  <c r="H14" i="14"/>
  <c r="G7" i="7" s="1"/>
  <c r="L10" i="14"/>
  <c r="M10" i="14" s="1"/>
  <c r="I7" i="14"/>
  <c r="F4" i="14"/>
  <c r="M20" i="11" s="1"/>
  <c r="K58" i="14"/>
  <c r="H55" i="14"/>
  <c r="L51" i="14"/>
  <c r="M51" i="14" s="1"/>
  <c r="I48" i="14"/>
  <c r="F45" i="14"/>
  <c r="H14" i="11" s="1"/>
  <c r="J14" i="11" s="1"/>
  <c r="J41" i="14"/>
  <c r="G38" i="14"/>
  <c r="I4" i="11" s="1"/>
  <c r="K4" i="11" s="1"/>
  <c r="K34" i="14"/>
  <c r="H31" i="14"/>
  <c r="L27" i="14"/>
  <c r="M27" i="14" s="1"/>
  <c r="I24" i="14"/>
  <c r="F21" i="14"/>
  <c r="H12" i="11" s="1"/>
  <c r="J12" i="11" s="1"/>
  <c r="J17" i="14"/>
  <c r="G14" i="14"/>
  <c r="K10" i="14"/>
  <c r="H7" i="14"/>
  <c r="L3" i="14"/>
  <c r="M3" i="14" s="1"/>
  <c r="J58" i="14"/>
  <c r="G55" i="14"/>
  <c r="K51" i="14"/>
  <c r="H48" i="14"/>
  <c r="L44" i="14"/>
  <c r="M44" i="14" s="1"/>
  <c r="I41" i="14"/>
  <c r="F38" i="14"/>
  <c r="H4" i="11" s="1"/>
  <c r="J4" i="11" s="1"/>
  <c r="J34" i="14"/>
  <c r="G31" i="14"/>
  <c r="I29" i="11" s="1"/>
  <c r="K29" i="11" s="1"/>
  <c r="K27" i="14"/>
  <c r="H24" i="14"/>
  <c r="L20" i="14"/>
  <c r="M20" i="14" s="1"/>
  <c r="I17" i="14"/>
  <c r="F14" i="14"/>
  <c r="J10" i="14"/>
  <c r="G7" i="14"/>
  <c r="N24" i="11" s="1"/>
  <c r="K3" i="14"/>
  <c r="L61" i="14"/>
  <c r="M61" i="14" s="1"/>
  <c r="I58" i="14"/>
  <c r="F55" i="14"/>
  <c r="J51" i="14"/>
  <c r="G48" i="14"/>
  <c r="I15" i="11" s="1"/>
  <c r="K44" i="14"/>
  <c r="H41" i="14"/>
  <c r="L37" i="14"/>
  <c r="M37" i="14" s="1"/>
  <c r="I34" i="14"/>
  <c r="F31" i="14"/>
  <c r="H29" i="11" s="1"/>
  <c r="J29" i="11" s="1"/>
  <c r="J27" i="14"/>
  <c r="G24" i="14"/>
  <c r="I16" i="11" s="1"/>
  <c r="K20" i="14"/>
  <c r="H17" i="14"/>
  <c r="L13" i="14"/>
  <c r="M13" i="14" s="1"/>
  <c r="I10" i="14"/>
  <c r="F7" i="14"/>
  <c r="M24" i="11" s="1"/>
  <c r="J3" i="14"/>
  <c r="K61" i="14"/>
  <c r="H58" i="14"/>
  <c r="L54" i="14"/>
  <c r="M54" i="14" s="1"/>
  <c r="I51" i="14"/>
  <c r="F48" i="14"/>
  <c r="H15" i="11" s="1"/>
  <c r="J44" i="14"/>
  <c r="G41" i="14"/>
  <c r="I26" i="11" s="1"/>
  <c r="K26" i="11" s="1"/>
  <c r="K37" i="14"/>
  <c r="H34" i="14"/>
  <c r="L30" i="14"/>
  <c r="M30" i="14" s="1"/>
  <c r="I27" i="14"/>
  <c r="F24" i="14"/>
  <c r="H16" i="11" s="1"/>
  <c r="J20" i="14"/>
  <c r="G17" i="14"/>
  <c r="I30" i="11" s="1"/>
  <c r="K30" i="11" s="1"/>
  <c r="K13" i="14"/>
  <c r="H10" i="14"/>
  <c r="L6" i="14"/>
  <c r="M6" i="14" s="1"/>
  <c r="I3" i="14"/>
  <c r="J61" i="14"/>
  <c r="G58" i="14"/>
  <c r="K54" i="14"/>
  <c r="H51" i="14"/>
  <c r="L47" i="14"/>
  <c r="M47" i="14" s="1"/>
  <c r="I44" i="14"/>
  <c r="F41" i="14"/>
  <c r="H26" i="11" s="1"/>
  <c r="J26" i="11" s="1"/>
  <c r="J37" i="14"/>
  <c r="G34" i="14"/>
  <c r="I34" i="11" s="1"/>
  <c r="K34" i="11" s="1"/>
  <c r="K30" i="14"/>
  <c r="H27" i="14"/>
  <c r="L23" i="14"/>
  <c r="M23" i="14" s="1"/>
  <c r="I20" i="14"/>
  <c r="F17" i="14"/>
  <c r="H30" i="11" s="1"/>
  <c r="J30" i="11" s="1"/>
  <c r="J13" i="14"/>
  <c r="G10" i="14"/>
  <c r="N34" i="11" s="1"/>
  <c r="K6" i="14"/>
  <c r="H3" i="14"/>
  <c r="F2" i="14"/>
  <c r="M4" i="11" s="1"/>
  <c r="I61" i="14"/>
  <c r="J54" i="14"/>
  <c r="G51" i="14"/>
  <c r="K47" i="14"/>
  <c r="H44" i="14"/>
  <c r="L40" i="14"/>
  <c r="M40" i="14" s="1"/>
  <c r="I37" i="14"/>
  <c r="J30" i="14"/>
  <c r="G27" i="14"/>
  <c r="K23" i="14"/>
  <c r="H20" i="14"/>
  <c r="L16" i="14"/>
  <c r="M16" i="14" s="1"/>
  <c r="I13" i="14"/>
  <c r="J6" i="14"/>
  <c r="G3" i="14"/>
  <c r="N10" i="11" s="1"/>
  <c r="G2" i="14"/>
  <c r="N4" i="11" s="1"/>
  <c r="H61" i="14"/>
  <c r="L57" i="14"/>
  <c r="M57" i="14" s="1"/>
  <c r="I54" i="14"/>
  <c r="J47" i="14"/>
  <c r="G44" i="14"/>
  <c r="I18" i="11" s="1"/>
  <c r="K18" i="11" s="1"/>
  <c r="K40" i="14"/>
  <c r="H37" i="14"/>
  <c r="L33" i="14"/>
  <c r="M33" i="14" s="1"/>
  <c r="I30" i="14"/>
  <c r="J23" i="14"/>
  <c r="G20" i="14"/>
  <c r="I23" i="11" s="1"/>
  <c r="K16" i="14"/>
  <c r="H13" i="14"/>
  <c r="L9" i="14"/>
  <c r="M9" i="14" s="1"/>
  <c r="I6" i="14"/>
  <c r="H2" i="14"/>
  <c r="G8" i="7" s="1"/>
  <c r="G61" i="14"/>
  <c r="K57" i="14"/>
  <c r="H54" i="14"/>
  <c r="L50" i="14"/>
  <c r="M50" i="14" s="1"/>
  <c r="L4" i="7" s="1"/>
  <c r="I47" i="14"/>
  <c r="J40" i="14"/>
  <c r="G37" i="14"/>
  <c r="I5" i="11" s="1"/>
  <c r="K5" i="11" s="1"/>
  <c r="K33" i="14"/>
  <c r="H30" i="14"/>
  <c r="L26" i="14"/>
  <c r="M26" i="14" s="1"/>
  <c r="L6" i="7" s="1"/>
  <c r="I23" i="14"/>
  <c r="J16" i="14"/>
  <c r="G13" i="14"/>
  <c r="N5" i="11" s="1"/>
  <c r="K9" i="14"/>
  <c r="H6" i="14"/>
  <c r="I2" i="14"/>
  <c r="H8" i="7" s="1"/>
  <c r="J57" i="14"/>
  <c r="G54" i="14"/>
  <c r="K50" i="14"/>
  <c r="J4" i="7" s="1"/>
  <c r="H47" i="14"/>
  <c r="L43" i="14"/>
  <c r="M43" i="14" s="1"/>
  <c r="I40" i="14"/>
  <c r="J33" i="14"/>
  <c r="G30" i="14"/>
  <c r="I37" i="11" s="1"/>
  <c r="K37" i="11" s="1"/>
  <c r="L37" i="11" s="1"/>
  <c r="K26" i="14"/>
  <c r="J6" i="7" s="1"/>
  <c r="H23" i="14"/>
  <c r="L19" i="14"/>
  <c r="M19" i="14" s="1"/>
  <c r="I16" i="14"/>
  <c r="J9" i="14"/>
  <c r="G6" i="14"/>
  <c r="N38" i="11" s="1"/>
  <c r="T38" i="11" s="1"/>
  <c r="J2" i="14"/>
  <c r="I8" i="7" s="1"/>
  <c r="L60" i="14"/>
  <c r="M60" i="14" s="1"/>
  <c r="I57" i="14"/>
  <c r="J50" i="14"/>
  <c r="I4" i="7" s="1"/>
  <c r="G47" i="14"/>
  <c r="I33" i="11" s="1"/>
  <c r="K33" i="11" s="1"/>
  <c r="K43" i="14"/>
  <c r="H40" i="14"/>
  <c r="L36" i="14"/>
  <c r="M36" i="14" s="1"/>
  <c r="I33" i="14"/>
  <c r="J26" i="14"/>
  <c r="I6" i="7" s="1"/>
  <c r="G23" i="14"/>
  <c r="I31" i="11" s="1"/>
  <c r="K31" i="11" s="1"/>
  <c r="O31" i="11" s="1"/>
  <c r="P31" i="11" s="1"/>
  <c r="K19" i="14"/>
  <c r="H16" i="14"/>
  <c r="L12" i="14"/>
  <c r="M12" i="14" s="1"/>
  <c r="I9" i="14"/>
  <c r="K2" i="14"/>
  <c r="J8" i="7" s="1"/>
  <c r="K60" i="14"/>
  <c r="H57" i="14"/>
  <c r="L53" i="14"/>
  <c r="M53" i="14" s="1"/>
  <c r="I50" i="14"/>
  <c r="H4" i="7" s="1"/>
  <c r="J43" i="14"/>
  <c r="G40" i="14"/>
  <c r="I20" i="11" s="1"/>
  <c r="K20" i="11" s="1"/>
  <c r="K36" i="14"/>
  <c r="H33" i="14"/>
  <c r="L29" i="14"/>
  <c r="M29" i="14" s="1"/>
  <c r="I26" i="14"/>
  <c r="H6" i="7" s="1"/>
  <c r="J19" i="14"/>
  <c r="G16" i="14"/>
  <c r="I21" i="11" s="1"/>
  <c r="K12" i="14"/>
  <c r="H9" i="14"/>
  <c r="L5" i="14"/>
  <c r="M5" i="14" s="1"/>
  <c r="J60" i="14"/>
  <c r="G57" i="14"/>
  <c r="K53" i="14"/>
  <c r="H50" i="14"/>
  <c r="G4" i="7" s="1"/>
  <c r="L46" i="14"/>
  <c r="M46" i="14" s="1"/>
  <c r="I43" i="14"/>
  <c r="J36" i="14"/>
  <c r="G33" i="14"/>
  <c r="I13" i="11" s="1"/>
  <c r="K13" i="11" s="1"/>
  <c r="K29" i="14"/>
  <c r="H26" i="14"/>
  <c r="G6" i="7" s="1"/>
  <c r="L22" i="14"/>
  <c r="M22" i="14" s="1"/>
  <c r="I19" i="14"/>
  <c r="J12" i="14"/>
  <c r="G9" i="14"/>
  <c r="N13" i="11" s="1"/>
  <c r="K5" i="14"/>
  <c r="I60" i="14"/>
  <c r="J53" i="14"/>
  <c r="G50" i="14"/>
  <c r="E4" i="7" s="1"/>
  <c r="K46" i="14"/>
  <c r="H43" i="14"/>
  <c r="L39" i="14"/>
  <c r="M39" i="14" s="1"/>
  <c r="I36" i="14"/>
  <c r="J29" i="14"/>
  <c r="G26" i="14"/>
  <c r="K22" i="14"/>
  <c r="H19" i="14"/>
  <c r="L15" i="14"/>
  <c r="M15" i="14" s="1"/>
  <c r="I12" i="14"/>
  <c r="J5" i="14"/>
  <c r="H60" i="14"/>
  <c r="L56" i="14"/>
  <c r="M56" i="14" s="1"/>
  <c r="I53" i="14"/>
  <c r="J46" i="14"/>
  <c r="G43" i="14"/>
  <c r="I27" i="11" s="1"/>
  <c r="K39" i="14"/>
  <c r="H36" i="14"/>
  <c r="L32" i="14"/>
  <c r="M32" i="14" s="1"/>
  <c r="I29" i="14"/>
  <c r="J22" i="14"/>
  <c r="G19" i="14"/>
  <c r="I24" i="11" s="1"/>
  <c r="K24" i="11" s="1"/>
  <c r="K15" i="14"/>
  <c r="H12" i="14"/>
  <c r="L8" i="14"/>
  <c r="M8" i="14" s="1"/>
  <c r="I5" i="14"/>
  <c r="G60" i="14"/>
  <c r="K56" i="14"/>
  <c r="H53" i="14"/>
  <c r="L49" i="14"/>
  <c r="M49" i="14" s="1"/>
  <c r="I46" i="14"/>
  <c r="J39" i="14"/>
  <c r="G36" i="14"/>
  <c r="I17" i="11" s="1"/>
  <c r="K32" i="14"/>
  <c r="H29" i="14"/>
  <c r="L25" i="14"/>
  <c r="M25" i="14" s="1"/>
  <c r="I22" i="14"/>
  <c r="J15" i="14"/>
  <c r="G12" i="14"/>
  <c r="N15" i="11" s="1"/>
  <c r="K8" i="14"/>
  <c r="H5" i="14"/>
  <c r="J56" i="14"/>
  <c r="G53" i="14"/>
  <c r="K49" i="14"/>
  <c r="H46" i="14"/>
  <c r="L42" i="14"/>
  <c r="M42" i="14" s="1"/>
  <c r="I39" i="14"/>
  <c r="J32" i="14"/>
  <c r="G29" i="14"/>
  <c r="I28" i="11" s="1"/>
  <c r="K28" i="11" s="1"/>
  <c r="K25" i="14"/>
  <c r="H22" i="14"/>
  <c r="L18" i="14"/>
  <c r="M18" i="14" s="1"/>
  <c r="I15" i="14"/>
  <c r="J8" i="14"/>
  <c r="G5" i="14"/>
  <c r="N28" i="11" s="1"/>
  <c r="L59" i="14"/>
  <c r="M59" i="14" s="1"/>
  <c r="I56" i="14"/>
  <c r="J49" i="14"/>
  <c r="G46" i="14"/>
  <c r="I32" i="11" s="1"/>
  <c r="K32" i="11" s="1"/>
  <c r="L32" i="11" s="1"/>
  <c r="K42" i="14"/>
  <c r="H39" i="14"/>
  <c r="L35" i="14"/>
  <c r="M35" i="14" s="1"/>
  <c r="I32" i="14"/>
  <c r="J25" i="14"/>
  <c r="G22" i="14"/>
  <c r="I25" i="11" s="1"/>
  <c r="K25" i="11" s="1"/>
  <c r="L25" i="11" s="1"/>
  <c r="K18" i="14"/>
  <c r="H15" i="14"/>
  <c r="L11" i="14"/>
  <c r="M11" i="14" s="1"/>
  <c r="I8" i="14"/>
  <c r="K59" i="14"/>
  <c r="H56" i="14"/>
  <c r="L52" i="14"/>
  <c r="M52" i="14" s="1"/>
  <c r="I49" i="14"/>
  <c r="J42" i="14"/>
  <c r="G39" i="14"/>
  <c r="I10" i="11" s="1"/>
  <c r="K35" i="14"/>
  <c r="H32" i="14"/>
  <c r="L28" i="14"/>
  <c r="M28" i="14" s="1"/>
  <c r="I25" i="14"/>
  <c r="J18" i="14"/>
  <c r="G15" i="14"/>
  <c r="I9" i="11" s="1"/>
  <c r="K11" i="14"/>
  <c r="H8" i="14"/>
  <c r="L4" i="14"/>
  <c r="M4" i="14" s="1"/>
  <c r="J59" i="14"/>
  <c r="G56" i="14"/>
  <c r="K52" i="14"/>
  <c r="H49" i="14"/>
  <c r="L45" i="14"/>
  <c r="M45" i="14" s="1"/>
  <c r="I42" i="14"/>
  <c r="J35" i="14"/>
  <c r="G32" i="14"/>
  <c r="I22" i="11" s="1"/>
  <c r="K22" i="11" s="1"/>
  <c r="O22" i="11" s="1"/>
  <c r="K28" i="14"/>
  <c r="H25" i="14"/>
  <c r="L21" i="14"/>
  <c r="M21" i="14" s="1"/>
  <c r="I18" i="14"/>
  <c r="J11" i="14"/>
  <c r="G8" i="14"/>
  <c r="N23" i="11" s="1"/>
  <c r="K4" i="14"/>
  <c r="I59" i="14"/>
  <c r="J52" i="14"/>
  <c r="G49" i="14"/>
  <c r="I3" i="11" s="1"/>
  <c r="K45" i="14"/>
  <c r="H42" i="14"/>
  <c r="L38" i="14"/>
  <c r="I35" i="14"/>
  <c r="J28" i="14"/>
  <c r="G25" i="14"/>
  <c r="I8" i="11" s="1"/>
  <c r="K8" i="11" s="1"/>
  <c r="L8" i="11" s="1"/>
  <c r="K21" i="14"/>
  <c r="H18" i="14"/>
  <c r="L14" i="14"/>
  <c r="I11" i="14"/>
  <c r="J4" i="14"/>
  <c r="H59" i="14"/>
  <c r="L55" i="14"/>
  <c r="M55" i="14" s="1"/>
  <c r="I52" i="14"/>
  <c r="J45" i="14"/>
  <c r="G42" i="14"/>
  <c r="I36" i="11" s="1"/>
  <c r="K36" i="11" s="1"/>
  <c r="K38" i="14"/>
  <c r="J5" i="7" s="1"/>
  <c r="H35" i="14"/>
  <c r="L31" i="14"/>
  <c r="M31" i="14" s="1"/>
  <c r="I28" i="14"/>
  <c r="J21" i="14"/>
  <c r="G18" i="14"/>
  <c r="I38" i="11" s="1"/>
  <c r="K38" i="11" s="1"/>
  <c r="K14" i="14"/>
  <c r="J7" i="7" s="1"/>
  <c r="H11" i="14"/>
  <c r="L7" i="14"/>
  <c r="M7" i="14" s="1"/>
  <c r="I4" i="14"/>
  <c r="G59" i="14"/>
  <c r="K55" i="14"/>
  <c r="H52" i="14"/>
  <c r="L48" i="14"/>
  <c r="M48" i="14" s="1"/>
  <c r="I45" i="14"/>
  <c r="J38" i="14"/>
  <c r="I5" i="7" s="1"/>
  <c r="G35" i="14"/>
  <c r="I35" i="11" s="1"/>
  <c r="K35" i="11" s="1"/>
  <c r="K31" i="14"/>
  <c r="H28" i="14"/>
  <c r="L24" i="14"/>
  <c r="M24" i="14" s="1"/>
  <c r="I21" i="14"/>
  <c r="J14" i="14"/>
  <c r="I7" i="7" s="1"/>
  <c r="G11" i="14"/>
  <c r="N31" i="11" s="1"/>
  <c r="K7" i="14"/>
  <c r="H4" i="14"/>
  <c r="E11" i="11"/>
  <c r="E16" i="11"/>
  <c r="D6" i="7"/>
  <c r="N18" i="11"/>
  <c r="N22" i="11"/>
  <c r="M6" i="11"/>
  <c r="D5" i="7"/>
  <c r="E5" i="7"/>
  <c r="M7" i="11"/>
  <c r="M26" i="11"/>
  <c r="M30" i="11"/>
  <c r="H9" i="11"/>
  <c r="M14" i="11"/>
  <c r="M36" i="11"/>
  <c r="N12" i="11"/>
  <c r="M37" i="11"/>
  <c r="R37" i="11" s="1"/>
  <c r="I11" i="11"/>
  <c r="J34" i="11"/>
  <c r="R34" i="11" s="1"/>
  <c r="J13" i="11"/>
  <c r="M11" i="11"/>
  <c r="M16" i="11"/>
  <c r="M19" i="11"/>
  <c r="M32" i="11"/>
  <c r="R32" i="11" s="1"/>
  <c r="N19" i="11"/>
  <c r="N26" i="11"/>
  <c r="E9" i="11"/>
  <c r="M12" i="11"/>
  <c r="M23" i="11"/>
  <c r="M25" i="11"/>
  <c r="R25" i="11" s="1"/>
  <c r="M9" i="11"/>
  <c r="N30" i="11"/>
  <c r="M3" i="11"/>
  <c r="D8" i="7"/>
  <c r="N3" i="11"/>
  <c r="M21" i="11"/>
  <c r="N21" i="11"/>
  <c r="M8" i="11"/>
  <c r="L8" i="7"/>
  <c r="J5" i="11"/>
  <c r="E17" i="11"/>
  <c r="M18" i="11"/>
  <c r="M27" i="11"/>
  <c r="M33" i="11"/>
  <c r="N27" i="11"/>
  <c r="J18" i="11"/>
  <c r="M17" i="11"/>
  <c r="J23" i="11"/>
  <c r="J27" i="11"/>
  <c r="J13" i="7"/>
  <c r="E10" i="11"/>
  <c r="E15" i="11"/>
  <c r="M29" i="11"/>
  <c r="M35" i="11"/>
  <c r="N29" i="11"/>
  <c r="N37" i="11"/>
  <c r="T37" i="11" s="1"/>
  <c r="J36" i="11"/>
  <c r="J35" i="11"/>
  <c r="J28" i="11"/>
  <c r="J33" i="11"/>
  <c r="J24" i="11"/>
  <c r="J3" i="11"/>
  <c r="J21" i="11"/>
  <c r="J22" i="11"/>
  <c r="J20" i="11"/>
  <c r="O13" i="11"/>
  <c r="S38" i="11" l="1"/>
  <c r="N6" i="11"/>
  <c r="T23" i="11"/>
  <c r="N25" i="11"/>
  <c r="T25" i="11" s="1"/>
  <c r="N36" i="11"/>
  <c r="S36" i="11" s="1"/>
  <c r="T28" i="11"/>
  <c r="K6" i="7"/>
  <c r="O35" i="11"/>
  <c r="P35" i="11" s="1"/>
  <c r="N7" i="11"/>
  <c r="N32" i="11"/>
  <c r="T32" i="11" s="1"/>
  <c r="E8" i="7"/>
  <c r="E21" i="7" s="1"/>
  <c r="K4" i="7"/>
  <c r="N14" i="11"/>
  <c r="S14" i="11" s="1"/>
  <c r="N16" i="11"/>
  <c r="N11" i="11"/>
  <c r="L22" i="11"/>
  <c r="N17" i="11"/>
  <c r="N9" i="11"/>
  <c r="T13" i="11"/>
  <c r="L29" i="11"/>
  <c r="L26" i="11"/>
  <c r="L12" i="11"/>
  <c r="L24" i="11"/>
  <c r="R29" i="11"/>
  <c r="N35" i="11"/>
  <c r="T35" i="11" s="1"/>
  <c r="N8" i="11"/>
  <c r="S8" i="11" s="1"/>
  <c r="N33" i="11"/>
  <c r="T33" i="11" s="1"/>
  <c r="M14" i="14"/>
  <c r="L7" i="7" s="1"/>
  <c r="K7" i="7"/>
  <c r="R19" i="11"/>
  <c r="M38" i="14"/>
  <c r="L5" i="7" s="1"/>
  <c r="K5" i="7"/>
  <c r="E7" i="7"/>
  <c r="E16" i="7" s="1"/>
  <c r="I6" i="11"/>
  <c r="K6" i="11" s="1"/>
  <c r="E6" i="7"/>
  <c r="F15" i="7" s="1"/>
  <c r="I7" i="11"/>
  <c r="K7" i="11" s="1"/>
  <c r="D7" i="7"/>
  <c r="D16" i="7" s="1"/>
  <c r="H6" i="11"/>
  <c r="J6" i="11" s="1"/>
  <c r="T6" i="11" s="1"/>
  <c r="L34" i="11"/>
  <c r="R27" i="11"/>
  <c r="T30" i="11"/>
  <c r="T34" i="11"/>
  <c r="L13" i="11"/>
  <c r="T18" i="11"/>
  <c r="L31" i="11"/>
  <c r="O26" i="11"/>
  <c r="P26" i="11" s="1"/>
  <c r="L30" i="11"/>
  <c r="T12" i="11"/>
  <c r="O30" i="11"/>
  <c r="P30" i="11" s="1"/>
  <c r="P13" i="11"/>
  <c r="S31" i="11"/>
  <c r="L38" i="11"/>
  <c r="O12" i="11"/>
  <c r="Q12" i="11" s="1"/>
  <c r="L14" i="11"/>
  <c r="L33" i="11"/>
  <c r="R3" i="11"/>
  <c r="O25" i="11"/>
  <c r="P25" i="11" s="1"/>
  <c r="L18" i="11"/>
  <c r="L5" i="11"/>
  <c r="O29" i="11"/>
  <c r="Q29" i="11" s="1"/>
  <c r="R24" i="11"/>
  <c r="R12" i="11"/>
  <c r="O33" i="11"/>
  <c r="Q33" i="11" s="1"/>
  <c r="S29" i="11"/>
  <c r="R18" i="11"/>
  <c r="R21" i="11"/>
  <c r="S26" i="11"/>
  <c r="L35" i="11"/>
  <c r="E13" i="7"/>
  <c r="F13" i="7"/>
  <c r="D15" i="7"/>
  <c r="D14" i="7"/>
  <c r="D13" i="7"/>
  <c r="O14" i="11"/>
  <c r="P14" i="11" s="1"/>
  <c r="S34" i="11"/>
  <c r="T26" i="11"/>
  <c r="R5" i="11"/>
  <c r="T20" i="11"/>
  <c r="L28" i="11"/>
  <c r="O8" i="11"/>
  <c r="T3" i="11"/>
  <c r="R20" i="11"/>
  <c r="L36" i="11"/>
  <c r="L20" i="11"/>
  <c r="O28" i="11"/>
  <c r="P28" i="11" s="1"/>
  <c r="T21" i="11"/>
  <c r="S24" i="11"/>
  <c r="R33" i="11"/>
  <c r="T27" i="11"/>
  <c r="T5" i="11"/>
  <c r="T22" i="11"/>
  <c r="R26" i="11"/>
  <c r="E14" i="7"/>
  <c r="T31" i="11"/>
  <c r="S30" i="11"/>
  <c r="K19" i="11"/>
  <c r="L19" i="11" s="1"/>
  <c r="K27" i="11"/>
  <c r="L27" i="11" s="1"/>
  <c r="K3" i="11"/>
  <c r="S3" i="11" s="1"/>
  <c r="K21" i="11"/>
  <c r="L21" i="11" s="1"/>
  <c r="K23" i="11"/>
  <c r="S23" i="11" s="1"/>
  <c r="J7" i="11"/>
  <c r="O20" i="11"/>
  <c r="Q20" i="11" s="1"/>
  <c r="L4" i="11"/>
  <c r="S4" i="11"/>
  <c r="O18" i="11"/>
  <c r="P18" i="11" s="1"/>
  <c r="T19" i="11"/>
  <c r="J10" i="11"/>
  <c r="R10" i="11" s="1"/>
  <c r="D17" i="7"/>
  <c r="T29" i="11"/>
  <c r="R13" i="11"/>
  <c r="R31" i="11"/>
  <c r="S20" i="11"/>
  <c r="S18" i="11"/>
  <c r="R30" i="11"/>
  <c r="O4" i="11"/>
  <c r="Q4" i="11" s="1"/>
  <c r="R4" i="11"/>
  <c r="S37" i="11"/>
  <c r="O37" i="11"/>
  <c r="P37" i="11" s="1"/>
  <c r="T4" i="11"/>
  <c r="S13" i="11"/>
  <c r="S12" i="11"/>
  <c r="O34" i="11"/>
  <c r="Q34" i="11" s="1"/>
  <c r="O32" i="11"/>
  <c r="P32" i="11" s="1"/>
  <c r="R14" i="11"/>
  <c r="R35" i="11"/>
  <c r="R22" i="11"/>
  <c r="Q31" i="11"/>
  <c r="O24" i="11"/>
  <c r="Q24" i="11" s="1"/>
  <c r="R23" i="11"/>
  <c r="S28" i="11"/>
  <c r="Q13" i="11"/>
  <c r="Q35" i="11"/>
  <c r="P22" i="11"/>
  <c r="Q22" i="11"/>
  <c r="T36" i="11" l="1"/>
  <c r="S25" i="11"/>
  <c r="U25" i="11" s="1"/>
  <c r="S7" i="11"/>
  <c r="S32" i="11"/>
  <c r="U32" i="11" s="1"/>
  <c r="T7" i="11"/>
  <c r="T14" i="11"/>
  <c r="U14" i="11" s="1"/>
  <c r="Q30" i="11"/>
  <c r="L6" i="11"/>
  <c r="E15" i="7"/>
  <c r="E19" i="7" s="1"/>
  <c r="S33" i="11"/>
  <c r="U33" i="11" s="1"/>
  <c r="O7" i="11"/>
  <c r="P7" i="11" s="1"/>
  <c r="S35" i="11"/>
  <c r="U35" i="11" s="1"/>
  <c r="F16" i="7"/>
  <c r="F19" i="7" s="1"/>
  <c r="R6" i="11"/>
  <c r="Q26" i="11"/>
  <c r="Q14" i="11"/>
  <c r="P12" i="11"/>
  <c r="P29" i="11"/>
  <c r="Q25" i="11"/>
  <c r="P33" i="11"/>
  <c r="U12" i="11"/>
  <c r="D19" i="7"/>
  <c r="D23" i="7" s="1"/>
  <c r="U29" i="11"/>
  <c r="U26" i="11"/>
  <c r="D21" i="7"/>
  <c r="F21" i="7"/>
  <c r="O5" i="11"/>
  <c r="Q5" i="11" s="1"/>
  <c r="Q8" i="11"/>
  <c r="P8" i="11"/>
  <c r="R8" i="11"/>
  <c r="U30" i="11"/>
  <c r="O27" i="11"/>
  <c r="Q27" i="11" s="1"/>
  <c r="T8" i="11"/>
  <c r="Q28" i="11"/>
  <c r="R28" i="11"/>
  <c r="U28" i="11" s="1"/>
  <c r="T24" i="11"/>
  <c r="U24" i="11" s="1"/>
  <c r="O21" i="11"/>
  <c r="P21" i="11" s="1"/>
  <c r="U31" i="11"/>
  <c r="O3" i="11"/>
  <c r="P3" i="11" s="1"/>
  <c r="S27" i="11"/>
  <c r="S6" i="11"/>
  <c r="S22" i="11"/>
  <c r="U22" i="11" s="1"/>
  <c r="S5" i="11"/>
  <c r="O19" i="11"/>
  <c r="P19" i="11" s="1"/>
  <c r="O36" i="11"/>
  <c r="R36" i="11"/>
  <c r="R38" i="11"/>
  <c r="O38" i="11"/>
  <c r="O23" i="11"/>
  <c r="Q23" i="11" s="1"/>
  <c r="S21" i="11"/>
  <c r="U20" i="11"/>
  <c r="L23" i="11"/>
  <c r="L7" i="11"/>
  <c r="Q18" i="11"/>
  <c r="J11" i="11"/>
  <c r="R11" i="11" s="1"/>
  <c r="O6" i="11"/>
  <c r="P20" i="11"/>
  <c r="R7" i="11"/>
  <c r="L3" i="11"/>
  <c r="J15" i="11"/>
  <c r="T15" i="11" s="1"/>
  <c r="J16" i="11"/>
  <c r="T16" i="11" s="1"/>
  <c r="K16" i="11"/>
  <c r="K17" i="11"/>
  <c r="O17" i="11" s="1"/>
  <c r="J17" i="11"/>
  <c r="T17" i="11" s="1"/>
  <c r="K11" i="11"/>
  <c r="S11" i="11" s="1"/>
  <c r="K15" i="11"/>
  <c r="O15" i="11" s="1"/>
  <c r="J9" i="11"/>
  <c r="K9" i="11"/>
  <c r="O9" i="11" s="1"/>
  <c r="Q9" i="11" s="1"/>
  <c r="U18" i="11"/>
  <c r="U13" i="11"/>
  <c r="S19" i="11"/>
  <c r="Q37" i="11"/>
  <c r="U37" i="11"/>
  <c r="T10" i="11"/>
  <c r="K10" i="11"/>
  <c r="L10" i="11" s="1"/>
  <c r="U4" i="11"/>
  <c r="P4" i="11"/>
  <c r="U34" i="11"/>
  <c r="P34" i="11"/>
  <c r="Q32" i="11"/>
  <c r="P24" i="11"/>
  <c r="U7" i="11" l="1"/>
  <c r="Q7" i="11"/>
  <c r="U3" i="11"/>
  <c r="Q3" i="11"/>
  <c r="O16" i="11"/>
  <c r="Q16" i="11" s="1"/>
  <c r="U8" i="11"/>
  <c r="D22" i="7"/>
  <c r="D25" i="7" s="1"/>
  <c r="P5" i="11"/>
  <c r="Q21" i="11"/>
  <c r="U5" i="11"/>
  <c r="F22" i="7"/>
  <c r="F25" i="7" s="1"/>
  <c r="U19" i="11"/>
  <c r="U21" i="11"/>
  <c r="P27" i="11"/>
  <c r="U27" i="11"/>
  <c r="U36" i="11"/>
  <c r="Q19" i="11"/>
  <c r="U23" i="11"/>
  <c r="P23" i="11"/>
  <c r="U38" i="11"/>
  <c r="P38" i="11"/>
  <c r="Q38" i="11"/>
  <c r="Q36" i="11"/>
  <c r="P36" i="11"/>
  <c r="S10" i="11"/>
  <c r="L11" i="11"/>
  <c r="L9" i="11"/>
  <c r="L15" i="11"/>
  <c r="P17" i="11"/>
  <c r="S9" i="11"/>
  <c r="U6" i="11"/>
  <c r="P6" i="11"/>
  <c r="Q6" i="11"/>
  <c r="O11" i="11"/>
  <c r="R17" i="11"/>
  <c r="T11" i="11"/>
  <c r="R15" i="11"/>
  <c r="S15" i="11"/>
  <c r="O10" i="11"/>
  <c r="Q10" i="11" s="1"/>
  <c r="R9" i="11"/>
  <c r="P9" i="11"/>
  <c r="R16" i="11"/>
  <c r="L16" i="11"/>
  <c r="T9" i="11"/>
  <c r="S16" i="11"/>
  <c r="L17" i="11"/>
  <c r="S17" i="11"/>
  <c r="Q17" i="11"/>
  <c r="P15" i="11"/>
  <c r="Q15" i="11"/>
  <c r="P11" i="11" l="1"/>
  <c r="Q11" i="11"/>
  <c r="P16" i="11"/>
  <c r="U17" i="11"/>
  <c r="U10" i="11"/>
  <c r="P10" i="11"/>
  <c r="U9" i="11"/>
  <c r="U16" i="11"/>
  <c r="U15" i="11"/>
  <c r="U11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E66BA-9C62-4B9B-94D6-5F3E41D6DBEE}" keepAlive="1" name="ModelConnection_ExternalData_2" description="数据模型" type="5" refreshedVersion="7" minRefreshableVersion="5" saveData="1">
    <dbPr connection="Data Model Connection" command="Swagger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57E50E7-1436-46E8-AE09-A3B1DD8D7414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4825FEE-BCA6-4059-9DED-A550AB778698}" name="查询 - Swagger (2)" description="与工作簿中“Swagger (2)”查询的连接。" type="100" refreshedVersion="7" minRefreshableVersion="5">
    <extLst>
      <ext xmlns:x15="http://schemas.microsoft.com/office/spreadsheetml/2010/11/main" uri="{DE250136-89BD-433C-8126-D09CA5730AF9}">
        <x15:connection id="24d06dce-f0dd-4309-88f8-22d13e6ade32"/>
      </ext>
    </extLst>
  </connection>
</connections>
</file>

<file path=xl/sharedStrings.xml><?xml version="1.0" encoding="utf-8"?>
<sst xmlns="http://schemas.openxmlformats.org/spreadsheetml/2006/main" count="472" uniqueCount="164">
  <si>
    <t>pickGem</t>
  </si>
  <si>
    <t>TOPAZ</t>
  </si>
  <si>
    <t>buyPrice</t>
  </si>
  <si>
    <t>sellPrice</t>
  </si>
  <si>
    <t>buyVolume</t>
  </si>
  <si>
    <t>sellVolume</t>
  </si>
  <si>
    <t>buyMovingWeek</t>
  </si>
  <si>
    <t>sellMovingWeek</t>
  </si>
  <si>
    <t>APITime</t>
  </si>
  <si>
    <t>APITime IRL</t>
  </si>
  <si>
    <t>ROUGH</t>
  </si>
  <si>
    <t>FLAWED</t>
  </si>
  <si>
    <t>FINE</t>
  </si>
  <si>
    <t>FLAWLESS</t>
  </si>
  <si>
    <t>PERFECT</t>
  </si>
  <si>
    <t>item_id</t>
  </si>
  <si>
    <t>PERFECT_JASPER_GEM</t>
  </si>
  <si>
    <t>ONYX</t>
  </si>
  <si>
    <t>☠</t>
  </si>
  <si>
    <t>PERFECT_ONYX_GEM</t>
  </si>
  <si>
    <t>OPAL</t>
  </si>
  <si>
    <t>❂</t>
  </si>
  <si>
    <t>PERFECT_PERIDOT_GEM</t>
  </si>
  <si>
    <t>✧</t>
  </si>
  <si>
    <t>PERFECT_AQUAMARINE_GEM</t>
  </si>
  <si>
    <t>SAPPHIRE</t>
  </si>
  <si>
    <t>✎</t>
  </si>
  <si>
    <t>PERFECT_SAPPHIRE_GEM</t>
  </si>
  <si>
    <t>CITRINE</t>
  </si>
  <si>
    <t>☘</t>
  </si>
  <si>
    <t>PERFECT_TOPAZ_GEM</t>
  </si>
  <si>
    <t>AMETHYST</t>
  </si>
  <si>
    <t>❈</t>
  </si>
  <si>
    <t>PERFECT_AMBER_GEM</t>
  </si>
  <si>
    <t>AMBER</t>
  </si>
  <si>
    <t>⸕</t>
  </si>
  <si>
    <t>PERFECT_AMETHYST_GEM</t>
  </si>
  <si>
    <t>AQUAMARINE</t>
  </si>
  <si>
    <t>☂</t>
  </si>
  <si>
    <t>PERFECT_JADE_GEM</t>
  </si>
  <si>
    <t>JADE</t>
  </si>
  <si>
    <t>PERFECT_CITRINE_GEM</t>
  </si>
  <si>
    <t>RUBY</t>
  </si>
  <si>
    <t>❤</t>
  </si>
  <si>
    <t>PERFECT_OPAL_GEM</t>
  </si>
  <si>
    <t>PERIDOT</t>
  </si>
  <si>
    <t>PERFECT_RUBY_GEM</t>
  </si>
  <si>
    <t>JASPER</t>
  </si>
  <si>
    <t>❁</t>
  </si>
  <si>
    <t>FLAWLESS_JASPER_GEM</t>
  </si>
  <si>
    <t>FLAWLESS_PERIDOT_GEM</t>
  </si>
  <si>
    <t>FLAWLESS_AMETHYST_GEM</t>
  </si>
  <si>
    <t>FLAWLESS_ONYX_GEM</t>
  </si>
  <si>
    <t>FLAWLESS_SAPPHIRE_GEM</t>
  </si>
  <si>
    <t>FLAWLESS_TOPAZ_GEM</t>
  </si>
  <si>
    <t>FLAWLESS_AQUAMARINE_GEM</t>
  </si>
  <si>
    <t>FLAWLESS_AMBER_GEM</t>
  </si>
  <si>
    <t>FLAWLESS_OPAL_GEM</t>
  </si>
  <si>
    <t>FLAWLESS_JADE_GEM</t>
  </si>
  <si>
    <t>FLAWLESS_CITRINE_GEM</t>
  </si>
  <si>
    <t>FLAWLESS_RUBY_GEM</t>
  </si>
  <si>
    <t>FINE_JASPER_GEM</t>
  </si>
  <si>
    <t>FINE_PERIDOT_GEM</t>
  </si>
  <si>
    <t>FINE_ONYX_GEM</t>
  </si>
  <si>
    <t>FINE_AMETHYST_GEM</t>
  </si>
  <si>
    <t>FINE_AQUAMARINE_GEM</t>
  </si>
  <si>
    <t>FINE_TOPAZ_GEM</t>
  </si>
  <si>
    <t>FINE_SAPPHIRE_GEM</t>
  </si>
  <si>
    <t>FINE_AMBER_GEM</t>
  </si>
  <si>
    <t>FINE_JADE_GEM</t>
  </si>
  <si>
    <t>FINE_OPAL_GEM</t>
  </si>
  <si>
    <t>FINE_CITRINE_GEM</t>
  </si>
  <si>
    <t>FINE_RUBY_GEM</t>
  </si>
  <si>
    <t>FLAWED_JASPER_GEM</t>
  </si>
  <si>
    <t>FLAWED_AMETHYST_GEM</t>
  </si>
  <si>
    <t>FLAWED_PERIDOT_GEM</t>
  </si>
  <si>
    <t>FLAWED_ONYX_GEM</t>
  </si>
  <si>
    <t>FLAWED_RUBY_GEM</t>
  </si>
  <si>
    <t>FLAWED_AMBER_GEM</t>
  </si>
  <si>
    <t>FLAWED_SAPPHIRE_GEM</t>
  </si>
  <si>
    <t>FLAWED_AQUAMARINE_GEM</t>
  </si>
  <si>
    <t>FLAWED_CITRINE_GEM</t>
  </si>
  <si>
    <t>FLAWED_TOPAZ_GEM</t>
  </si>
  <si>
    <t>FLAWED_JADE_GEM</t>
  </si>
  <si>
    <t>FLAWED_OPAL_GEM</t>
  </si>
  <si>
    <t>ROUGH_JASPER_GEM</t>
  </si>
  <si>
    <t>ROUGH_TOPAZ_GEM</t>
  </si>
  <si>
    <t>ROUGH_ONYX_GEM</t>
  </si>
  <si>
    <t>ROUGH_SAPPHIRE_GEM</t>
  </si>
  <si>
    <t>ROUGH_PERIDOT_GEM</t>
  </si>
  <si>
    <t>ROUGH_AMBER_GEM</t>
  </si>
  <si>
    <t>ROUGH_AQUAMARINE_GEM</t>
  </si>
  <si>
    <t>ROUGH_CITRINE_GEM</t>
  </si>
  <si>
    <t>ROUGH_AMETHYST_GEM</t>
  </si>
  <si>
    <t>ROUGH_RUBY_GEM</t>
  </si>
  <si>
    <t>ROUGH_JADE_GEM</t>
  </si>
  <si>
    <t>ROUGH_OPAL_GEM</t>
  </si>
  <si>
    <t>Gemstone</t>
  </si>
  <si>
    <t>Stat</t>
  </si>
  <si>
    <t>icon</t>
  </si>
  <si>
    <t>Health</t>
  </si>
  <si>
    <t>Mining Speed</t>
  </si>
  <si>
    <t>Pristine</t>
  </si>
  <si>
    <t>Mining Fortune</t>
  </si>
  <si>
    <t>Intelligence</t>
  </si>
  <si>
    <t>Defense</t>
  </si>
  <si>
    <t>Strength</t>
  </si>
  <si>
    <t>True Defense</t>
  </si>
  <si>
    <t>Fishing Speed</t>
  </si>
  <si>
    <t>Foraging Fortune</t>
  </si>
  <si>
    <t>Crit Damage</t>
  </si>
  <si>
    <t>Farming Fortune</t>
  </si>
  <si>
    <t>AMETHYST</t>
    <phoneticPr fontId="24" type="noConversion"/>
  </si>
  <si>
    <t>GemQuality</t>
    <phoneticPr fontId="24" type="noConversion"/>
  </si>
  <si>
    <t>Tier</t>
    <phoneticPr fontId="24" type="noConversion"/>
  </si>
  <si>
    <t>GemName</t>
    <phoneticPr fontId="24" type="noConversion"/>
  </si>
  <si>
    <t>PERIDOT</t>
    <phoneticPr fontId="24" type="noConversion"/>
  </si>
  <si>
    <t>API2IRL</t>
    <phoneticPr fontId="24" type="noConversion"/>
  </si>
  <si>
    <t>Icon</t>
    <phoneticPr fontId="24" type="noConversion"/>
  </si>
  <si>
    <t>selectamount</t>
    <phoneticPr fontId="24" type="noConversion"/>
  </si>
  <si>
    <t>TotalRough</t>
    <phoneticPr fontId="24" type="noConversion"/>
  </si>
  <si>
    <t>PERFECT?</t>
    <phoneticPr fontId="24" type="noConversion"/>
  </si>
  <si>
    <t>instabuy cost</t>
    <phoneticPr fontId="24" type="noConversion"/>
  </si>
  <si>
    <t>buyorder cost</t>
    <phoneticPr fontId="24" type="noConversion"/>
  </si>
  <si>
    <t>TotalCost</t>
    <phoneticPr fontId="24" type="noConversion"/>
  </si>
  <si>
    <t>sell offer</t>
    <phoneticPr fontId="24" type="noConversion"/>
  </si>
  <si>
    <t>insta sell</t>
    <phoneticPr fontId="24" type="noConversion"/>
  </si>
  <si>
    <t>MAXprofit</t>
    <phoneticPr fontId="24" type="noConversion"/>
  </si>
  <si>
    <t>MINprofit</t>
    <phoneticPr fontId="24" type="noConversion"/>
  </si>
  <si>
    <t>ProfitRate</t>
    <phoneticPr fontId="24" type="noConversion"/>
  </si>
  <si>
    <t>ALL</t>
    <phoneticPr fontId="24" type="noConversion"/>
  </si>
  <si>
    <t>FLAWLESS</t>
    <phoneticPr fontId="24" type="noConversion"/>
  </si>
  <si>
    <t>FLAWED</t>
    <phoneticPr fontId="24" type="noConversion"/>
  </si>
  <si>
    <t>FINE</t>
    <phoneticPr fontId="24" type="noConversion"/>
  </si>
  <si>
    <t>costInstaBuy</t>
    <phoneticPr fontId="24" type="noConversion"/>
  </si>
  <si>
    <t>costBuyOrder</t>
    <phoneticPr fontId="24" type="noConversion"/>
  </si>
  <si>
    <t>PerfectOffer</t>
    <phoneticPr fontId="24" type="noConversion"/>
  </si>
  <si>
    <t>PerfectSell</t>
    <phoneticPr fontId="24" type="noConversion"/>
  </si>
  <si>
    <t>FORGES</t>
    <phoneticPr fontId="24" type="noConversion"/>
  </si>
  <si>
    <t>MAX/Cost</t>
    <phoneticPr fontId="24" type="noConversion"/>
  </si>
  <si>
    <t>AMTBase</t>
    <phoneticPr fontId="24" type="noConversion"/>
  </si>
  <si>
    <t>△Cost</t>
    <phoneticPr fontId="24" type="noConversion"/>
  </si>
  <si>
    <t>STDEVP</t>
    <phoneticPr fontId="24" type="noConversion"/>
  </si>
  <si>
    <t>CrystalCost</t>
    <phoneticPr fontId="24" type="noConversion"/>
  </si>
  <si>
    <t>JUNGLE_KEY</t>
  </si>
  <si>
    <t>JUNGLE_KEY</t>
    <phoneticPr fontId="24" type="noConversion"/>
  </si>
  <si>
    <t>PRECURSOR_APPARATUS</t>
    <phoneticPr fontId="24" type="noConversion"/>
  </si>
  <si>
    <t>AVERAGE</t>
    <phoneticPr fontId="24" type="noConversion"/>
  </si>
  <si>
    <t>CN?</t>
    <phoneticPr fontId="24" type="noConversion"/>
  </si>
  <si>
    <t>Profit2
Offer/insbuy</t>
    <phoneticPr fontId="24" type="noConversion"/>
  </si>
  <si>
    <t>Profit3
insell/Order</t>
    <phoneticPr fontId="24" type="noConversion"/>
  </si>
  <si>
    <t>71680s?</t>
    <phoneticPr fontId="24" type="noConversion"/>
  </si>
  <si>
    <t>Crystal Cost</t>
    <phoneticPr fontId="24" type="noConversion"/>
  </si>
  <si>
    <t>npcSell</t>
    <phoneticPr fontId="24" type="noConversion"/>
  </si>
  <si>
    <t>MAXProfit
offer/order</t>
    <phoneticPr fontId="24" type="noConversion"/>
  </si>
  <si>
    <t>MINProfit
insbuy/insell</t>
    <phoneticPr fontId="24" type="noConversion"/>
  </si>
  <si>
    <t>sell offer overwrite</t>
    <phoneticPr fontId="24" type="noConversion"/>
  </si>
  <si>
    <t>overwrite BUYPRICE</t>
    <phoneticPr fontId="24" type="noConversion"/>
  </si>
  <si>
    <t>overwrite Cost</t>
    <phoneticPr fontId="24" type="noConversion"/>
  </si>
  <si>
    <t>Crystal</t>
    <phoneticPr fontId="24" type="noConversion"/>
  </si>
  <si>
    <t>TAX</t>
    <phoneticPr fontId="24" type="noConversion"/>
  </si>
  <si>
    <t>InstaBuying ProfitRate</t>
    <phoneticPr fontId="24" type="noConversion"/>
  </si>
  <si>
    <t>RUBY</t>
    <phoneticPr fontId="24" type="noConversion"/>
  </si>
  <si>
    <t>sellPrice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</si>
</sst>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76" formatCode="0_);[Red]\(0\)"/>
    <numFmt numFmtId="177" formatCode="_ * #,##0_ ;_ * \-#,##0_ ;_ * &quot;-&quot;??_ ;_ @_ "/>
    <numFmt numFmtId="178" formatCode="0.0_);[Red]\(0.0\)"/>
    <numFmt numFmtId="179" formatCode="0.00_);[Red]\(0.00\)"/>
  </numFmts>
  <fonts count="45" x14ac:knownFonts="1">
    <font>
      <sz val="11"/>
      <color theme="1"/>
      <name val="宋体"/>
      <charset val="134"/>
      <scheme val="minor"/>
    </font>
    <font>
      <b/>
      <sz val="12"/>
      <color rgb="FFFFFFFF"/>
      <name val="Times New Roman"/>
      <family val="1"/>
    </font>
    <font>
      <sz val="11"/>
      <color theme="1"/>
      <name val="宋体"/>
      <charset val="134"/>
      <scheme val="minor"/>
    </font>
    <font>
      <sz val="12"/>
      <color rgb="FFFFFFFF"/>
      <name val="Times New Roman"/>
      <family val="1"/>
    </font>
    <font>
      <sz val="12"/>
      <color rgb="FFFF5555"/>
      <name val="Times New Roman"/>
      <family val="1"/>
    </font>
    <font>
      <sz val="11"/>
      <color rgb="FFFF0000"/>
      <name val="Segoe UI Symbol"/>
      <family val="2"/>
    </font>
    <font>
      <sz val="12"/>
      <color rgb="FFFFAA00"/>
      <name val="Times New Roman"/>
      <family val="1"/>
    </font>
    <font>
      <sz val="11"/>
      <color rgb="FFFFC000"/>
      <name val="Segoe UI Symbol"/>
      <family val="2"/>
    </font>
    <font>
      <sz val="12"/>
      <color rgb="FFAA00AA"/>
      <name val="Times New Roman"/>
      <family val="1"/>
    </font>
    <font>
      <sz val="11"/>
      <color rgb="FF7030A0"/>
      <name val="Segoe UI Symbol"/>
      <family val="2"/>
    </font>
    <font>
      <sz val="11"/>
      <color theme="6" tint="0.39994506668294322"/>
      <name val="Segoe UI Symbol"/>
      <family val="2"/>
    </font>
    <font>
      <sz val="12"/>
      <color rgb="FF55FFFF"/>
      <name val="Times New Roman"/>
      <family val="1"/>
    </font>
    <font>
      <sz val="11"/>
      <color theme="8" tint="0.79995117038483843"/>
      <name val="Segoe UI Symbol"/>
      <family val="2"/>
    </font>
    <font>
      <sz val="12"/>
      <color rgb="FF55FF55"/>
      <name val="Times New Roman"/>
      <family val="1"/>
    </font>
    <font>
      <sz val="11"/>
      <color rgb="FF92D050"/>
      <name val="Segoe UI Symbol"/>
      <family val="2"/>
    </font>
    <font>
      <sz val="11"/>
      <color theme="9" tint="-0.249977111117893"/>
      <name val="Segoe UI Symbol"/>
      <family val="2"/>
    </font>
    <font>
      <sz val="11"/>
      <color theme="0" tint="-0.14996795556505021"/>
      <name val="Segoe UI Symbol"/>
      <family val="2"/>
    </font>
    <font>
      <sz val="11"/>
      <color theme="8" tint="0.39994506668294322"/>
      <name val="Segoe UI Symbol"/>
      <family val="2"/>
    </font>
    <font>
      <sz val="11"/>
      <color theme="5" tint="-0.249977111117893"/>
      <name val="Segoe UI Symbol"/>
      <family val="2"/>
    </font>
    <font>
      <sz val="12"/>
      <color rgb="FF5555FF"/>
      <name val="Times New Roman"/>
      <family val="1"/>
    </font>
    <font>
      <sz val="11"/>
      <color rgb="FF5555FF"/>
      <name val="Times New Roman"/>
      <family val="1"/>
    </font>
    <font>
      <sz val="11"/>
      <color rgb="FF92D050"/>
      <name val="Times New Roman"/>
      <family val="1"/>
    </font>
    <font>
      <b/>
      <sz val="11"/>
      <color theme="0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ajor"/>
    </font>
    <font>
      <b/>
      <sz val="11"/>
      <color theme="0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sz val="11"/>
      <color rgb="FF7030A0"/>
      <name val="宋体"/>
      <family val="3"/>
      <charset val="134"/>
      <scheme val="major"/>
    </font>
    <font>
      <sz val="11"/>
      <color rgb="FF0070C0"/>
      <name val="宋体"/>
      <family val="3"/>
      <charset val="134"/>
      <scheme val="major"/>
    </font>
    <font>
      <sz val="11"/>
      <color theme="7" tint="-0.249977111117893"/>
      <name val="宋体"/>
      <family val="3"/>
      <charset val="134"/>
      <scheme val="major"/>
    </font>
    <font>
      <b/>
      <sz val="11"/>
      <color rgb="FFFFC000"/>
      <name val="宋体"/>
      <family val="3"/>
      <charset val="134"/>
      <scheme val="major"/>
    </font>
    <font>
      <b/>
      <sz val="11"/>
      <color rgb="FF0070C0"/>
      <name val="宋体"/>
      <family val="3"/>
      <charset val="134"/>
      <scheme val="major"/>
    </font>
    <font>
      <b/>
      <sz val="11"/>
      <color rgb="FF7030A0"/>
      <name val="宋体"/>
      <family val="3"/>
      <charset val="134"/>
      <scheme val="major"/>
    </font>
    <font>
      <b/>
      <sz val="11"/>
      <color theme="7" tint="-0.249977111117893"/>
      <name val="宋体"/>
      <family val="3"/>
      <charset val="134"/>
      <scheme val="major"/>
    </font>
    <font>
      <b/>
      <sz val="11"/>
      <color theme="6" tint="0.39994506668294322"/>
      <name val="宋体"/>
      <family val="3"/>
      <charset val="134"/>
      <scheme val="major"/>
    </font>
    <font>
      <b/>
      <sz val="11"/>
      <color rgb="FF92D050"/>
      <name val="宋体"/>
      <family val="3"/>
      <charset val="134"/>
      <scheme val="major"/>
    </font>
    <font>
      <b/>
      <sz val="11"/>
      <color theme="9" tint="-0.249977111117893"/>
      <name val="宋体"/>
      <family val="3"/>
      <charset val="134"/>
      <scheme val="major"/>
    </font>
    <font>
      <b/>
      <sz val="11"/>
      <color rgb="FFFF0000"/>
      <name val="宋体"/>
      <family val="3"/>
      <charset val="134"/>
      <scheme val="major"/>
    </font>
    <font>
      <b/>
      <sz val="11"/>
      <color rgb="FF5555FF"/>
      <name val="宋体"/>
      <family val="3"/>
      <charset val="134"/>
      <scheme val="major"/>
    </font>
    <font>
      <b/>
      <sz val="11"/>
      <color theme="8" tint="0.39994506668294322"/>
      <name val="宋体"/>
      <family val="3"/>
      <charset val="134"/>
      <scheme val="major"/>
    </font>
    <font>
      <b/>
      <sz val="11"/>
      <color theme="5" tint="-0.249977111117893"/>
      <name val="宋体"/>
      <family val="3"/>
      <charset val="134"/>
      <scheme val="major"/>
    </font>
    <font>
      <b/>
      <sz val="11"/>
      <color theme="0" tint="-0.14996795556505021"/>
      <name val="宋体"/>
      <family val="3"/>
      <charset val="134"/>
      <scheme val="major"/>
    </font>
  </fonts>
  <fills count="29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theme="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0C1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rgb="FFAAAAAA"/>
      </left>
      <right style="thick">
        <color rgb="FF1A1A1A"/>
      </right>
      <top style="medium">
        <color rgb="FFAAAAAA"/>
      </top>
      <bottom style="thick">
        <color rgb="FF1A1A1A"/>
      </bottom>
      <diagonal/>
    </border>
    <border>
      <left style="thick">
        <color rgb="FF1A1A1A"/>
      </left>
      <right style="thick">
        <color rgb="FF1A1A1A"/>
      </right>
      <top style="medium">
        <color rgb="FFAAAAAA"/>
      </top>
      <bottom style="thick">
        <color rgb="FF1A1A1A"/>
      </bottom>
      <diagonal/>
    </border>
    <border>
      <left style="medium">
        <color rgb="FFAAAAAA"/>
      </left>
      <right style="thick">
        <color rgb="FF1A1A1A"/>
      </right>
      <top style="thick">
        <color rgb="FF1A1A1A"/>
      </top>
      <bottom style="thick">
        <color rgb="FF1A1A1A"/>
      </bottom>
      <diagonal/>
    </border>
    <border>
      <left style="thick">
        <color rgb="FF1A1A1A"/>
      </left>
      <right style="thick">
        <color rgb="FF1A1A1A"/>
      </right>
      <top style="thick">
        <color rgb="FF1A1A1A"/>
      </top>
      <bottom style="thick">
        <color rgb="FF1A1A1A"/>
      </bottom>
      <diagonal/>
    </border>
    <border>
      <left style="medium">
        <color rgb="FFAAAAAA"/>
      </left>
      <right style="thick">
        <color rgb="FF1A1A1A"/>
      </right>
      <top style="thick">
        <color rgb="FF1A1A1A"/>
      </top>
      <bottom style="medium">
        <color rgb="FFAAAAAA"/>
      </bottom>
      <diagonal/>
    </border>
    <border>
      <left style="thick">
        <color rgb="FF1A1A1A"/>
      </left>
      <right style="thick">
        <color rgb="FF1A1A1A"/>
      </right>
      <top style="thick">
        <color rgb="FF1A1A1A"/>
      </top>
      <bottom style="medium">
        <color rgb="FFAAAAAA"/>
      </bottom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9" tint="0.399945066682943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</borders>
  <cellStyleXfs count="3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49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2" fillId="0" borderId="0" xfId="0" applyNumberFormat="1" applyFont="1">
      <alignment vertical="center"/>
    </xf>
    <xf numFmtId="0" fontId="3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9" fillId="3" borderId="4" xfId="0" applyFont="1" applyFill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23" fillId="7" borderId="7" xfId="0" applyFont="1" applyFill="1" applyBorder="1">
      <alignment vertical="center"/>
    </xf>
    <xf numFmtId="0" fontId="23" fillId="7" borderId="8" xfId="0" applyFont="1" applyFill="1" applyBorder="1">
      <alignment vertical="center"/>
    </xf>
    <xf numFmtId="0" fontId="23" fillId="7" borderId="9" xfId="0" applyFont="1" applyFill="1" applyBorder="1">
      <alignment vertical="center"/>
    </xf>
    <xf numFmtId="49" fontId="25" fillId="0" borderId="0" xfId="0" applyNumberFormat="1" applyFont="1">
      <alignment vertical="center"/>
    </xf>
    <xf numFmtId="0" fontId="25" fillId="0" borderId="0" xfId="0" applyFont="1">
      <alignment vertical="center"/>
    </xf>
    <xf numFmtId="0" fontId="23" fillId="7" borderId="0" xfId="0" applyFont="1" applyFill="1">
      <alignment vertical="center"/>
    </xf>
    <xf numFmtId="4" fontId="0" fillId="0" borderId="0" xfId="0" applyNumberFormat="1">
      <alignment vertical="center"/>
    </xf>
    <xf numFmtId="49" fontId="2" fillId="8" borderId="0" xfId="0" applyNumberFormat="1" applyFont="1" applyFill="1">
      <alignment vertical="center"/>
    </xf>
    <xf numFmtId="0" fontId="2" fillId="8" borderId="0" xfId="0" applyFont="1" applyFill="1">
      <alignment vertical="center"/>
    </xf>
    <xf numFmtId="49" fontId="16" fillId="8" borderId="0" xfId="0" applyNumberFormat="1" applyFont="1" applyFill="1" applyAlignment="1">
      <alignment horizontal="center" vertical="center"/>
    </xf>
    <xf numFmtId="0" fontId="0" fillId="8" borderId="0" xfId="0" applyFill="1">
      <alignment vertical="center"/>
    </xf>
    <xf numFmtId="49" fontId="9" fillId="8" borderId="0" xfId="0" applyNumberFormat="1" applyFont="1" applyFill="1" applyAlignment="1">
      <alignment horizontal="center" vertical="center"/>
    </xf>
    <xf numFmtId="49" fontId="20" fillId="8" borderId="0" xfId="0" applyNumberFormat="1" applyFont="1" applyFill="1" applyAlignment="1">
      <alignment horizontal="center" vertical="center"/>
    </xf>
    <xf numFmtId="49" fontId="17" fillId="8" borderId="0" xfId="0" applyNumberFormat="1" applyFont="1" applyFill="1" applyAlignment="1">
      <alignment horizontal="center" vertical="center"/>
    </xf>
    <xf numFmtId="49" fontId="10" fillId="8" borderId="0" xfId="0" applyNumberFormat="1" applyFont="1" applyFill="1" applyAlignment="1">
      <alignment horizontal="center" vertical="center"/>
    </xf>
    <xf numFmtId="49" fontId="15" fillId="8" borderId="0" xfId="0" applyNumberFormat="1" applyFont="1" applyFill="1" applyAlignment="1">
      <alignment horizontal="center" vertical="center"/>
    </xf>
    <xf numFmtId="49" fontId="7" fillId="8" borderId="0" xfId="0" applyNumberFormat="1" applyFont="1" applyFill="1" applyAlignment="1">
      <alignment horizontal="center" vertical="center"/>
    </xf>
    <xf numFmtId="49" fontId="2" fillId="9" borderId="0" xfId="0" applyNumberFormat="1" applyFont="1" applyFill="1">
      <alignment vertical="center"/>
    </xf>
    <xf numFmtId="0" fontId="2" fillId="9" borderId="0" xfId="0" applyFont="1" applyFill="1">
      <alignment vertical="center"/>
    </xf>
    <xf numFmtId="49" fontId="10" fillId="9" borderId="0" xfId="0" applyNumberFormat="1" applyFont="1" applyFill="1" applyAlignment="1">
      <alignment horizontal="center" vertical="center"/>
    </xf>
    <xf numFmtId="0" fontId="0" fillId="9" borderId="0" xfId="0" applyFill="1">
      <alignment vertical="center"/>
    </xf>
    <xf numFmtId="49" fontId="14" fillId="9" borderId="0" xfId="0" applyNumberFormat="1" applyFont="1" applyFill="1" applyAlignment="1">
      <alignment horizontal="center" vertical="center"/>
    </xf>
    <xf numFmtId="49" fontId="15" fillId="9" borderId="0" xfId="0" applyNumberFormat="1" applyFont="1" applyFill="1" applyAlignment="1">
      <alignment horizontal="center" vertical="center"/>
    </xf>
    <xf numFmtId="49" fontId="12" fillId="9" borderId="0" xfId="0" applyNumberFormat="1" applyFont="1" applyFill="1" applyAlignment="1">
      <alignment horizontal="center" vertical="center"/>
    </xf>
    <xf numFmtId="49" fontId="18" fillId="9" borderId="0" xfId="0" applyNumberFormat="1" applyFont="1" applyFill="1" applyAlignment="1">
      <alignment horizontal="center" vertical="center"/>
    </xf>
    <xf numFmtId="49" fontId="9" fillId="9" borderId="0" xfId="0" applyNumberFormat="1" applyFont="1" applyFill="1" applyAlignment="1">
      <alignment horizontal="center" vertical="center"/>
    </xf>
    <xf numFmtId="49" fontId="17" fillId="9" borderId="0" xfId="0" applyNumberFormat="1" applyFont="1" applyFill="1" applyAlignment="1">
      <alignment horizontal="center" vertical="center"/>
    </xf>
    <xf numFmtId="49" fontId="2" fillId="10" borderId="0" xfId="0" applyNumberFormat="1" applyFont="1" applyFill="1">
      <alignment vertical="center"/>
    </xf>
    <xf numFmtId="0" fontId="2" fillId="10" borderId="0" xfId="0" applyFont="1" applyFill="1">
      <alignment vertical="center"/>
    </xf>
    <xf numFmtId="49" fontId="20" fillId="10" borderId="0" xfId="0" applyNumberFormat="1" applyFont="1" applyFill="1" applyAlignment="1">
      <alignment horizontal="center" vertical="center"/>
    </xf>
    <xf numFmtId="0" fontId="0" fillId="10" borderId="0" xfId="0" applyFill="1">
      <alignment vertical="center"/>
    </xf>
    <xf numFmtId="49" fontId="12" fillId="10" borderId="0" xfId="0" applyNumberFormat="1" applyFont="1" applyFill="1" applyAlignment="1">
      <alignment horizontal="center" vertical="center"/>
    </xf>
    <xf numFmtId="49" fontId="18" fillId="10" borderId="0" xfId="0" applyNumberFormat="1" applyFont="1" applyFill="1" applyAlignment="1">
      <alignment horizontal="center" vertical="center"/>
    </xf>
    <xf numFmtId="49" fontId="14" fillId="10" borderId="0" xfId="0" applyNumberFormat="1" applyFont="1" applyFill="1" applyAlignment="1">
      <alignment horizontal="center" vertical="center"/>
    </xf>
    <xf numFmtId="0" fontId="25" fillId="10" borderId="0" xfId="0" applyFont="1" applyFill="1">
      <alignment vertical="center"/>
    </xf>
    <xf numFmtId="49" fontId="5" fillId="10" borderId="0" xfId="0" applyNumberFormat="1" applyFont="1" applyFill="1" applyAlignment="1">
      <alignment horizontal="center" vertical="center"/>
    </xf>
    <xf numFmtId="49" fontId="17" fillId="10" borderId="0" xfId="0" applyNumberFormat="1" applyFont="1" applyFill="1" applyAlignment="1">
      <alignment horizontal="center" vertical="center"/>
    </xf>
    <xf numFmtId="49" fontId="9" fillId="10" borderId="0" xfId="0" applyNumberFormat="1" applyFont="1" applyFill="1" applyAlignment="1">
      <alignment horizontal="center" vertical="center"/>
    </xf>
    <xf numFmtId="49" fontId="2" fillId="11" borderId="0" xfId="0" applyNumberFormat="1" applyFont="1" applyFill="1">
      <alignment vertical="center"/>
    </xf>
    <xf numFmtId="0" fontId="2" fillId="11" borderId="0" xfId="0" applyFont="1" applyFill="1">
      <alignment vertical="center"/>
    </xf>
    <xf numFmtId="49" fontId="15" fillId="11" borderId="0" xfId="0" applyNumberFormat="1" applyFont="1" applyFill="1" applyAlignment="1">
      <alignment horizontal="center" vertical="center"/>
    </xf>
    <xf numFmtId="0" fontId="0" fillId="11" borderId="0" xfId="0" applyFill="1">
      <alignment vertical="center"/>
    </xf>
    <xf numFmtId="49" fontId="20" fillId="11" borderId="0" xfId="0" applyNumberFormat="1" applyFont="1" applyFill="1" applyAlignment="1">
      <alignment horizontal="center" vertical="center"/>
    </xf>
    <xf numFmtId="49" fontId="10" fillId="11" borderId="0" xfId="0" applyNumberFormat="1" applyFont="1" applyFill="1" applyAlignment="1">
      <alignment horizontal="center" vertical="center"/>
    </xf>
    <xf numFmtId="0" fontId="25" fillId="11" borderId="0" xfId="0" applyFont="1" applyFill="1">
      <alignment vertical="center"/>
    </xf>
    <xf numFmtId="49" fontId="7" fillId="11" borderId="0" xfId="0" applyNumberFormat="1" applyFont="1" applyFill="1" applyAlignment="1">
      <alignment horizontal="center" vertical="center"/>
    </xf>
    <xf numFmtId="49" fontId="12" fillId="11" borderId="0" xfId="0" applyNumberFormat="1" applyFont="1" applyFill="1" applyAlignment="1">
      <alignment horizontal="center" vertical="center"/>
    </xf>
    <xf numFmtId="49" fontId="16" fillId="11" borderId="0" xfId="0" applyNumberFormat="1" applyFont="1" applyFill="1" applyAlignment="1">
      <alignment horizontal="center" vertical="center"/>
    </xf>
    <xf numFmtId="49" fontId="18" fillId="11" borderId="0" xfId="0" applyNumberFormat="1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12" borderId="0" xfId="0" applyNumberFormat="1" applyFont="1" applyFill="1">
      <alignment vertical="center"/>
    </xf>
    <xf numFmtId="0" fontId="2" fillId="12" borderId="0" xfId="0" applyFont="1" applyFill="1">
      <alignment vertical="center"/>
    </xf>
    <xf numFmtId="49" fontId="5" fillId="12" borderId="0" xfId="0" applyNumberFormat="1" applyFont="1" applyFill="1" applyAlignment="1">
      <alignment horizontal="center" vertical="center"/>
    </xf>
    <xf numFmtId="0" fontId="0" fillId="12" borderId="0" xfId="0" applyFill="1">
      <alignment vertical="center"/>
    </xf>
    <xf numFmtId="49" fontId="20" fillId="12" borderId="0" xfId="0" applyNumberFormat="1" applyFont="1" applyFill="1" applyAlignment="1">
      <alignment horizontal="center" vertical="center"/>
    </xf>
    <xf numFmtId="49" fontId="7" fillId="12" borderId="0" xfId="0" applyNumberFormat="1" applyFont="1" applyFill="1" applyAlignment="1">
      <alignment horizontal="center" vertical="center"/>
    </xf>
    <xf numFmtId="49" fontId="17" fillId="12" borderId="0" xfId="0" applyNumberFormat="1" applyFont="1" applyFill="1" applyAlignment="1">
      <alignment horizontal="center" vertical="center"/>
    </xf>
    <xf numFmtId="49" fontId="14" fillId="12" borderId="0" xfId="0" applyNumberFormat="1" applyFont="1" applyFill="1" applyAlignment="1">
      <alignment horizontal="center" vertical="center"/>
    </xf>
    <xf numFmtId="49" fontId="16" fillId="12" borderId="0" xfId="0" applyNumberFormat="1" applyFont="1" applyFill="1" applyAlignment="1">
      <alignment horizontal="center" vertical="center"/>
    </xf>
    <xf numFmtId="49" fontId="12" fillId="12" borderId="0" xfId="0" applyNumberFormat="1" applyFont="1" applyFill="1" applyAlignment="1">
      <alignment horizontal="center" vertical="center"/>
    </xf>
    <xf numFmtId="49" fontId="18" fillId="12" borderId="0" xfId="0" applyNumberFormat="1" applyFont="1" applyFill="1" applyAlignment="1">
      <alignment horizontal="center" vertical="center"/>
    </xf>
    <xf numFmtId="4" fontId="25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0" fillId="22" borderId="0" xfId="0" applyFill="1">
      <alignment vertical="center"/>
    </xf>
    <xf numFmtId="0" fontId="25" fillId="22" borderId="0" xfId="0" applyFont="1" applyFill="1">
      <alignment vertical="center"/>
    </xf>
    <xf numFmtId="0" fontId="26" fillId="0" borderId="0" xfId="0" applyFont="1">
      <alignment vertical="center"/>
    </xf>
    <xf numFmtId="0" fontId="26" fillId="17" borderId="0" xfId="0" applyFont="1" applyFill="1">
      <alignment vertical="center"/>
    </xf>
    <xf numFmtId="0" fontId="27" fillId="0" borderId="0" xfId="0" applyFont="1" applyAlignment="1">
      <alignment vertical="center" wrapText="1"/>
    </xf>
    <xf numFmtId="4" fontId="26" fillId="0" borderId="13" xfId="0" applyNumberFormat="1" applyFont="1" applyBorder="1">
      <alignment vertical="center"/>
    </xf>
    <xf numFmtId="4" fontId="26" fillId="0" borderId="15" xfId="0" applyNumberFormat="1" applyFont="1" applyBorder="1">
      <alignment vertical="center"/>
    </xf>
    <xf numFmtId="4" fontId="26" fillId="0" borderId="0" xfId="0" applyNumberFormat="1" applyFont="1">
      <alignment vertical="center"/>
    </xf>
    <xf numFmtId="4" fontId="26" fillId="0" borderId="19" xfId="0" applyNumberFormat="1" applyFont="1" applyBorder="1">
      <alignment vertical="center"/>
    </xf>
    <xf numFmtId="10" fontId="26" fillId="0" borderId="0" xfId="2" applyNumberFormat="1" applyFont="1" applyBorder="1">
      <alignment vertical="center"/>
    </xf>
    <xf numFmtId="10" fontId="26" fillId="0" borderId="19" xfId="2" applyNumberFormat="1" applyFont="1" applyBorder="1">
      <alignment vertical="center"/>
    </xf>
    <xf numFmtId="0" fontId="27" fillId="0" borderId="21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49" fontId="28" fillId="4" borderId="22" xfId="0" applyNumberFormat="1" applyFont="1" applyFill="1" applyBorder="1" applyAlignment="1">
      <alignment vertical="center" wrapText="1"/>
    </xf>
    <xf numFmtId="0" fontId="28" fillId="15" borderId="21" xfId="0" applyFont="1" applyFill="1" applyBorder="1" applyAlignment="1">
      <alignment vertical="center" wrapText="1"/>
    </xf>
    <xf numFmtId="0" fontId="28" fillId="14" borderId="22" xfId="0" applyFont="1" applyFill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49" fontId="28" fillId="13" borderId="21" xfId="0" applyNumberFormat="1" applyFont="1" applyFill="1" applyBorder="1" applyAlignment="1">
      <alignment vertical="center" wrapText="1"/>
    </xf>
    <xf numFmtId="49" fontId="28" fillId="16" borderId="23" xfId="0" applyNumberFormat="1" applyFont="1" applyFill="1" applyBorder="1" applyAlignment="1">
      <alignment vertical="center" wrapText="1"/>
    </xf>
    <xf numFmtId="49" fontId="28" fillId="18" borderId="22" xfId="0" applyNumberFormat="1" applyFont="1" applyFill="1" applyBorder="1" applyAlignment="1">
      <alignment vertical="center" wrapText="1"/>
    </xf>
    <xf numFmtId="49" fontId="28" fillId="13" borderId="22" xfId="0" applyNumberFormat="1" applyFont="1" applyFill="1" applyBorder="1" applyAlignment="1">
      <alignment vertical="center" wrapText="1"/>
    </xf>
    <xf numFmtId="49" fontId="28" fillId="4" borderId="21" xfId="0" applyNumberFormat="1" applyFont="1" applyFill="1" applyBorder="1" applyAlignment="1">
      <alignment vertical="center" wrapText="1"/>
    </xf>
    <xf numFmtId="49" fontId="28" fillId="4" borderId="23" xfId="0" applyNumberFormat="1" applyFont="1" applyFill="1" applyBorder="1" applyAlignment="1">
      <alignment vertical="center" wrapText="1"/>
    </xf>
    <xf numFmtId="0" fontId="0" fillId="0" borderId="18" xfId="0" applyBorder="1">
      <alignment vertical="center"/>
    </xf>
    <xf numFmtId="49" fontId="2" fillId="0" borderId="12" xfId="0" applyNumberFormat="1" applyFont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23" xfId="0" applyBorder="1">
      <alignment vertical="center"/>
    </xf>
    <xf numFmtId="0" fontId="25" fillId="0" borderId="10" xfId="0" applyFont="1" applyBorder="1">
      <alignment vertical="center"/>
    </xf>
    <xf numFmtId="49" fontId="2" fillId="0" borderId="24" xfId="0" applyNumberFormat="1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49" fontId="22" fillId="4" borderId="20" xfId="0" applyNumberFormat="1" applyFont="1" applyFill="1" applyBorder="1">
      <alignment vertical="center"/>
    </xf>
    <xf numFmtId="49" fontId="22" fillId="4" borderId="11" xfId="0" applyNumberFormat="1" applyFont="1" applyFill="1" applyBorder="1">
      <alignment vertical="center"/>
    </xf>
    <xf numFmtId="177" fontId="0" fillId="0" borderId="0" xfId="1" applyNumberFormat="1" applyFont="1" applyBorder="1">
      <alignment vertical="center"/>
    </xf>
    <xf numFmtId="0" fontId="25" fillId="0" borderId="19" xfId="0" applyFont="1" applyBorder="1">
      <alignment vertical="center"/>
    </xf>
    <xf numFmtId="4" fontId="0" fillId="0" borderId="19" xfId="0" applyNumberFormat="1" applyBorder="1">
      <alignment vertical="center"/>
    </xf>
    <xf numFmtId="177" fontId="0" fillId="0" borderId="19" xfId="1" applyNumberFormat="1" applyFont="1" applyBorder="1">
      <alignment vertical="center"/>
    </xf>
    <xf numFmtId="176" fontId="0" fillId="0" borderId="19" xfId="0" applyNumberFormat="1" applyBorder="1">
      <alignment vertical="center"/>
    </xf>
    <xf numFmtId="49" fontId="25" fillId="0" borderId="14" xfId="0" applyNumberFormat="1" applyFont="1" applyBorder="1">
      <alignment vertical="center"/>
    </xf>
    <xf numFmtId="49" fontId="25" fillId="0" borderId="16" xfId="0" applyNumberFormat="1" applyFont="1" applyBorder="1">
      <alignment vertical="center"/>
    </xf>
    <xf numFmtId="178" fontId="29" fillId="20" borderId="13" xfId="1" applyNumberFormat="1" applyFont="1" applyFill="1" applyBorder="1" applyAlignment="1">
      <alignment horizontal="right" vertical="center"/>
    </xf>
    <xf numFmtId="49" fontId="23" fillId="4" borderId="20" xfId="0" applyNumberFormat="1" applyFont="1" applyFill="1" applyBorder="1">
      <alignment vertical="center"/>
    </xf>
    <xf numFmtId="4" fontId="0" fillId="0" borderId="24" xfId="0" applyNumberFormat="1" applyBorder="1">
      <alignment vertical="center"/>
    </xf>
    <xf numFmtId="4" fontId="0" fillId="8" borderId="0" xfId="0" applyNumberFormat="1" applyFill="1">
      <alignment vertical="center"/>
    </xf>
    <xf numFmtId="4" fontId="0" fillId="8" borderId="19" xfId="0" applyNumberFormat="1" applyFill="1" applyBorder="1">
      <alignment vertical="center"/>
    </xf>
    <xf numFmtId="0" fontId="25" fillId="8" borderId="21" xfId="0" applyFont="1" applyFill="1" applyBorder="1">
      <alignment vertical="center"/>
    </xf>
    <xf numFmtId="4" fontId="0" fillId="8" borderId="12" xfId="0" applyNumberFormat="1" applyFill="1" applyBorder="1">
      <alignment vertical="center"/>
    </xf>
    <xf numFmtId="4" fontId="25" fillId="8" borderId="0" xfId="0" applyNumberFormat="1" applyFont="1" applyFill="1">
      <alignment vertical="center"/>
    </xf>
    <xf numFmtId="10" fontId="0" fillId="8" borderId="0" xfId="0" applyNumberFormat="1" applyFill="1">
      <alignment vertical="center"/>
    </xf>
    <xf numFmtId="0" fontId="25" fillId="8" borderId="23" xfId="0" applyFont="1" applyFill="1" applyBorder="1">
      <alignment vertical="center"/>
    </xf>
    <xf numFmtId="4" fontId="0" fillId="8" borderId="13" xfId="0" applyNumberFormat="1" applyFill="1" applyBorder="1">
      <alignment vertical="center"/>
    </xf>
    <xf numFmtId="4" fontId="0" fillId="8" borderId="16" xfId="0" applyNumberFormat="1" applyFill="1" applyBorder="1">
      <alignment vertical="center"/>
    </xf>
    <xf numFmtId="4" fontId="0" fillId="8" borderId="18" xfId="0" applyNumberFormat="1" applyFill="1" applyBorder="1">
      <alignment vertical="center"/>
    </xf>
    <xf numFmtId="4" fontId="0" fillId="0" borderId="26" xfId="0" applyNumberFormat="1" applyBorder="1">
      <alignment vertical="center"/>
    </xf>
    <xf numFmtId="49" fontId="2" fillId="12" borderId="12" xfId="0" applyNumberFormat="1" applyFont="1" applyFill="1" applyBorder="1">
      <alignment vertical="center"/>
    </xf>
    <xf numFmtId="49" fontId="2" fillId="11" borderId="12" xfId="0" applyNumberFormat="1" applyFont="1" applyFill="1" applyBorder="1">
      <alignment vertical="center"/>
    </xf>
    <xf numFmtId="49" fontId="2" fillId="21" borderId="12" xfId="0" applyNumberFormat="1" applyFont="1" applyFill="1" applyBorder="1">
      <alignment vertical="center"/>
    </xf>
    <xf numFmtId="49" fontId="2" fillId="9" borderId="14" xfId="0" applyNumberFormat="1" applyFont="1" applyFill="1" applyBorder="1">
      <alignment vertical="center"/>
    </xf>
    <xf numFmtId="49" fontId="25" fillId="9" borderId="0" xfId="0" applyNumberFormat="1" applyFont="1" applyFill="1">
      <alignment vertical="center"/>
    </xf>
    <xf numFmtId="4" fontId="0" fillId="9" borderId="0" xfId="0" applyNumberFormat="1" applyFill="1">
      <alignment vertical="center"/>
    </xf>
    <xf numFmtId="4" fontId="0" fillId="23" borderId="14" xfId="0" applyNumberFormat="1" applyFill="1" applyBorder="1">
      <alignment vertical="center"/>
    </xf>
    <xf numFmtId="4" fontId="0" fillId="23" borderId="15" xfId="0" applyNumberFormat="1" applyFill="1" applyBorder="1">
      <alignment vertical="center"/>
    </xf>
    <xf numFmtId="49" fontId="25" fillId="5" borderId="0" xfId="0" applyNumberFormat="1" applyFont="1" applyFill="1">
      <alignment vertical="center"/>
    </xf>
    <xf numFmtId="0" fontId="0" fillId="5" borderId="0" xfId="0" applyFill="1">
      <alignment vertical="center"/>
    </xf>
    <xf numFmtId="4" fontId="0" fillId="5" borderId="0" xfId="0" applyNumberFormat="1" applyFill="1">
      <alignment vertical="center"/>
    </xf>
    <xf numFmtId="4" fontId="0" fillId="6" borderId="25" xfId="0" applyNumberFormat="1" applyFill="1" applyBorder="1">
      <alignment vertical="center"/>
    </xf>
    <xf numFmtId="0" fontId="25" fillId="0" borderId="12" xfId="0" applyFont="1" applyBorder="1">
      <alignment vertical="center"/>
    </xf>
    <xf numFmtId="0" fontId="25" fillId="24" borderId="27" xfId="0" applyFont="1" applyFill="1" applyBorder="1">
      <alignment vertical="center"/>
    </xf>
    <xf numFmtId="0" fontId="25" fillId="24" borderId="28" xfId="0" applyFont="1" applyFill="1" applyBorder="1">
      <alignment vertical="center"/>
    </xf>
    <xf numFmtId="0" fontId="25" fillId="0" borderId="27" xfId="0" applyFont="1" applyBorder="1">
      <alignment vertical="center"/>
    </xf>
    <xf numFmtId="0" fontId="25" fillId="0" borderId="28" xfId="0" applyFont="1" applyBorder="1">
      <alignment vertical="center"/>
    </xf>
    <xf numFmtId="0" fontId="25" fillId="0" borderId="29" xfId="0" applyFont="1" applyBorder="1">
      <alignment vertical="center"/>
    </xf>
    <xf numFmtId="0" fontId="25" fillId="0" borderId="30" xfId="0" applyFont="1" applyBorder="1">
      <alignment vertical="center"/>
    </xf>
    <xf numFmtId="178" fontId="0" fillId="0" borderId="0" xfId="0" applyNumberFormat="1" applyAlignment="1">
      <alignment horizontal="right" vertical="center"/>
    </xf>
    <xf numFmtId="0" fontId="26" fillId="20" borderId="0" xfId="0" applyFont="1" applyFill="1" applyAlignment="1">
      <alignment horizontal="right" vertical="center"/>
    </xf>
    <xf numFmtId="4" fontId="26" fillId="20" borderId="12" xfId="0" applyNumberFormat="1" applyFont="1" applyFill="1" applyBorder="1">
      <alignment vertical="center"/>
    </xf>
    <xf numFmtId="4" fontId="26" fillId="20" borderId="13" xfId="0" applyNumberFormat="1" applyFont="1" applyFill="1" applyBorder="1">
      <alignment vertical="center"/>
    </xf>
    <xf numFmtId="178" fontId="30" fillId="20" borderId="13" xfId="1" applyNumberFormat="1" applyFont="1" applyFill="1" applyBorder="1" applyAlignment="1">
      <alignment horizontal="right" vertical="center"/>
    </xf>
    <xf numFmtId="0" fontId="30" fillId="20" borderId="0" xfId="0" applyFont="1" applyFill="1" applyAlignment="1">
      <alignment horizontal="right" vertical="center"/>
    </xf>
    <xf numFmtId="4" fontId="30" fillId="20" borderId="12" xfId="0" applyNumberFormat="1" applyFont="1" applyFill="1" applyBorder="1">
      <alignment vertical="center"/>
    </xf>
    <xf numFmtId="4" fontId="30" fillId="20" borderId="13" xfId="0" applyNumberFormat="1" applyFont="1" applyFill="1" applyBorder="1">
      <alignment vertical="center"/>
    </xf>
    <xf numFmtId="178" fontId="30" fillId="9" borderId="13" xfId="1" applyNumberFormat="1" applyFont="1" applyFill="1" applyBorder="1" applyAlignment="1">
      <alignment horizontal="right" vertical="center"/>
    </xf>
    <xf numFmtId="0" fontId="30" fillId="9" borderId="0" xfId="0" applyFont="1" applyFill="1" applyAlignment="1">
      <alignment horizontal="right" vertical="center"/>
    </xf>
    <xf numFmtId="4" fontId="30" fillId="9" borderId="12" xfId="0" applyNumberFormat="1" applyFont="1" applyFill="1" applyBorder="1">
      <alignment vertical="center"/>
    </xf>
    <xf numFmtId="4" fontId="30" fillId="9" borderId="13" xfId="0" applyNumberFormat="1" applyFont="1" applyFill="1" applyBorder="1">
      <alignment vertical="center"/>
    </xf>
    <xf numFmtId="178" fontId="30" fillId="19" borderId="13" xfId="1" applyNumberFormat="1" applyFont="1" applyFill="1" applyBorder="1" applyAlignment="1">
      <alignment horizontal="right" vertical="center"/>
    </xf>
    <xf numFmtId="0" fontId="30" fillId="19" borderId="0" xfId="0" applyFont="1" applyFill="1" applyAlignment="1">
      <alignment horizontal="right" vertical="center"/>
    </xf>
    <xf numFmtId="4" fontId="30" fillId="19" borderId="12" xfId="0" applyNumberFormat="1" applyFont="1" applyFill="1" applyBorder="1">
      <alignment vertical="center"/>
    </xf>
    <xf numFmtId="4" fontId="30" fillId="19" borderId="13" xfId="0" applyNumberFormat="1" applyFont="1" applyFill="1" applyBorder="1">
      <alignment vertical="center"/>
    </xf>
    <xf numFmtId="178" fontId="30" fillId="11" borderId="13" xfId="1" applyNumberFormat="1" applyFont="1" applyFill="1" applyBorder="1" applyAlignment="1">
      <alignment horizontal="right" vertical="center"/>
    </xf>
    <xf numFmtId="0" fontId="30" fillId="11" borderId="0" xfId="0" applyFont="1" applyFill="1" applyAlignment="1">
      <alignment horizontal="right" vertical="center"/>
    </xf>
    <xf numFmtId="4" fontId="30" fillId="11" borderId="12" xfId="0" applyNumberFormat="1" applyFont="1" applyFill="1" applyBorder="1">
      <alignment vertical="center"/>
    </xf>
    <xf numFmtId="4" fontId="30" fillId="11" borderId="13" xfId="0" applyNumberFormat="1" applyFont="1" applyFill="1" applyBorder="1">
      <alignment vertical="center"/>
    </xf>
    <xf numFmtId="178" fontId="30" fillId="21" borderId="13" xfId="1" applyNumberFormat="1" applyFont="1" applyFill="1" applyBorder="1" applyAlignment="1">
      <alignment horizontal="right" vertical="center"/>
    </xf>
    <xf numFmtId="0" fontId="30" fillId="21" borderId="0" xfId="0" applyFont="1" applyFill="1" applyAlignment="1">
      <alignment horizontal="right" vertical="center"/>
    </xf>
    <xf numFmtId="4" fontId="30" fillId="21" borderId="12" xfId="0" applyNumberFormat="1" applyFont="1" applyFill="1" applyBorder="1">
      <alignment vertical="center"/>
    </xf>
    <xf numFmtId="4" fontId="30" fillId="21" borderId="13" xfId="0" applyNumberFormat="1" applyFont="1" applyFill="1" applyBorder="1">
      <alignment vertical="center"/>
    </xf>
    <xf numFmtId="178" fontId="31" fillId="20" borderId="13" xfId="1" applyNumberFormat="1" applyFont="1" applyFill="1" applyBorder="1" applyAlignment="1">
      <alignment horizontal="right" vertical="center"/>
    </xf>
    <xf numFmtId="0" fontId="31" fillId="20" borderId="0" xfId="0" applyFont="1" applyFill="1" applyAlignment="1">
      <alignment horizontal="right" vertical="center"/>
    </xf>
    <xf numFmtId="4" fontId="31" fillId="20" borderId="12" xfId="0" applyNumberFormat="1" applyFont="1" applyFill="1" applyBorder="1">
      <alignment vertical="center"/>
    </xf>
    <xf numFmtId="4" fontId="31" fillId="20" borderId="13" xfId="0" applyNumberFormat="1" applyFont="1" applyFill="1" applyBorder="1">
      <alignment vertical="center"/>
    </xf>
    <xf numFmtId="178" fontId="31" fillId="9" borderId="13" xfId="1" applyNumberFormat="1" applyFont="1" applyFill="1" applyBorder="1" applyAlignment="1">
      <alignment horizontal="right" vertical="center"/>
    </xf>
    <xf numFmtId="4" fontId="31" fillId="9" borderId="12" xfId="0" applyNumberFormat="1" applyFont="1" applyFill="1" applyBorder="1">
      <alignment vertical="center"/>
    </xf>
    <xf numFmtId="4" fontId="31" fillId="9" borderId="13" xfId="0" applyNumberFormat="1" applyFont="1" applyFill="1" applyBorder="1">
      <alignment vertical="center"/>
    </xf>
    <xf numFmtId="178" fontId="31" fillId="19" borderId="13" xfId="1" applyNumberFormat="1" applyFont="1" applyFill="1" applyBorder="1" applyAlignment="1">
      <alignment horizontal="right" vertical="center"/>
    </xf>
    <xf numFmtId="0" fontId="31" fillId="19" borderId="0" xfId="0" applyFont="1" applyFill="1" applyAlignment="1">
      <alignment horizontal="right" vertical="center"/>
    </xf>
    <xf numFmtId="4" fontId="31" fillId="19" borderId="12" xfId="0" applyNumberFormat="1" applyFont="1" applyFill="1" applyBorder="1">
      <alignment vertical="center"/>
    </xf>
    <xf numFmtId="4" fontId="31" fillId="19" borderId="13" xfId="0" applyNumberFormat="1" applyFont="1" applyFill="1" applyBorder="1">
      <alignment vertical="center"/>
    </xf>
    <xf numFmtId="178" fontId="31" fillId="11" borderId="13" xfId="1" applyNumberFormat="1" applyFont="1" applyFill="1" applyBorder="1" applyAlignment="1">
      <alignment horizontal="right" vertical="center"/>
    </xf>
    <xf numFmtId="0" fontId="31" fillId="11" borderId="0" xfId="0" applyFont="1" applyFill="1" applyAlignment="1">
      <alignment horizontal="right" vertical="center"/>
    </xf>
    <xf numFmtId="4" fontId="31" fillId="11" borderId="12" xfId="0" applyNumberFormat="1" applyFont="1" applyFill="1" applyBorder="1">
      <alignment vertical="center"/>
    </xf>
    <xf numFmtId="4" fontId="31" fillId="11" borderId="13" xfId="0" applyNumberFormat="1" applyFont="1" applyFill="1" applyBorder="1">
      <alignment vertical="center"/>
    </xf>
    <xf numFmtId="178" fontId="32" fillId="9" borderId="13" xfId="1" applyNumberFormat="1" applyFont="1" applyFill="1" applyBorder="1" applyAlignment="1">
      <alignment horizontal="right" vertical="center"/>
    </xf>
    <xf numFmtId="0" fontId="32" fillId="9" borderId="0" xfId="0" applyFont="1" applyFill="1" applyAlignment="1">
      <alignment horizontal="right" vertical="center"/>
    </xf>
    <xf numFmtId="4" fontId="32" fillId="9" borderId="12" xfId="0" applyNumberFormat="1" applyFont="1" applyFill="1" applyBorder="1">
      <alignment vertical="center"/>
    </xf>
    <xf numFmtId="4" fontId="32" fillId="9" borderId="13" xfId="0" applyNumberFormat="1" applyFont="1" applyFill="1" applyBorder="1">
      <alignment vertical="center"/>
    </xf>
    <xf numFmtId="178" fontId="32" fillId="19" borderId="13" xfId="1" applyNumberFormat="1" applyFont="1" applyFill="1" applyBorder="1" applyAlignment="1">
      <alignment horizontal="right" vertical="center"/>
    </xf>
    <xf numFmtId="0" fontId="32" fillId="19" borderId="0" xfId="0" applyFont="1" applyFill="1" applyAlignment="1">
      <alignment horizontal="right" vertical="center"/>
    </xf>
    <xf numFmtId="4" fontId="32" fillId="19" borderId="12" xfId="0" applyNumberFormat="1" applyFont="1" applyFill="1" applyBorder="1">
      <alignment vertical="center"/>
    </xf>
    <xf numFmtId="4" fontId="32" fillId="19" borderId="13" xfId="0" applyNumberFormat="1" applyFont="1" applyFill="1" applyBorder="1">
      <alignment vertical="center"/>
    </xf>
    <xf numFmtId="178" fontId="32" fillId="11" borderId="13" xfId="1" applyNumberFormat="1" applyFont="1" applyFill="1" applyBorder="1" applyAlignment="1">
      <alignment horizontal="right" vertical="center"/>
    </xf>
    <xf numFmtId="0" fontId="32" fillId="11" borderId="0" xfId="0" applyFont="1" applyFill="1" applyAlignment="1">
      <alignment horizontal="right" vertical="center"/>
    </xf>
    <xf numFmtId="4" fontId="32" fillId="11" borderId="12" xfId="0" applyNumberFormat="1" applyFont="1" applyFill="1" applyBorder="1">
      <alignment vertical="center"/>
    </xf>
    <xf numFmtId="4" fontId="32" fillId="11" borderId="13" xfId="0" applyNumberFormat="1" applyFont="1" applyFill="1" applyBorder="1">
      <alignment vertical="center"/>
    </xf>
    <xf numFmtId="178" fontId="32" fillId="21" borderId="13" xfId="1" applyNumberFormat="1" applyFont="1" applyFill="1" applyBorder="1" applyAlignment="1">
      <alignment horizontal="right" vertical="center"/>
    </xf>
    <xf numFmtId="0" fontId="32" fillId="21" borderId="0" xfId="0" applyFont="1" applyFill="1" applyAlignment="1">
      <alignment horizontal="right" vertical="center"/>
    </xf>
    <xf numFmtId="4" fontId="32" fillId="21" borderId="12" xfId="0" applyNumberFormat="1" applyFont="1" applyFill="1" applyBorder="1">
      <alignment vertical="center"/>
    </xf>
    <xf numFmtId="4" fontId="32" fillId="21" borderId="13" xfId="0" applyNumberFormat="1" applyFont="1" applyFill="1" applyBorder="1">
      <alignment vertical="center"/>
    </xf>
    <xf numFmtId="0" fontId="27" fillId="0" borderId="0" xfId="0" applyFont="1">
      <alignment vertical="center"/>
    </xf>
    <xf numFmtId="0" fontId="27" fillId="17" borderId="0" xfId="0" applyFont="1" applyFill="1">
      <alignment vertical="center"/>
    </xf>
    <xf numFmtId="0" fontId="27" fillId="0" borderId="12" xfId="0" applyFont="1" applyBorder="1">
      <alignment vertical="center"/>
    </xf>
    <xf numFmtId="0" fontId="27" fillId="20" borderId="0" xfId="0" applyFont="1" applyFill="1">
      <alignment vertical="center"/>
    </xf>
    <xf numFmtId="49" fontId="33" fillId="20" borderId="13" xfId="0" applyNumberFormat="1" applyFont="1" applyFill="1" applyBorder="1" applyAlignment="1">
      <alignment horizontal="center" vertical="center"/>
    </xf>
    <xf numFmtId="4" fontId="27" fillId="20" borderId="12" xfId="0" applyNumberFormat="1" applyFont="1" applyFill="1" applyBorder="1">
      <alignment vertical="center"/>
    </xf>
    <xf numFmtId="4" fontId="27" fillId="20" borderId="13" xfId="0" applyNumberFormat="1" applyFont="1" applyFill="1" applyBorder="1">
      <alignment vertical="center"/>
    </xf>
    <xf numFmtId="4" fontId="27" fillId="20" borderId="0" xfId="0" applyNumberFormat="1" applyFont="1" applyFill="1">
      <alignment vertical="center"/>
    </xf>
    <xf numFmtId="4" fontId="27" fillId="17" borderId="0" xfId="0" applyNumberFormat="1" applyFont="1" applyFill="1">
      <alignment vertical="center"/>
    </xf>
    <xf numFmtId="10" fontId="27" fillId="0" borderId="0" xfId="2" applyNumberFormat="1" applyFont="1" applyBorder="1">
      <alignment vertical="center"/>
    </xf>
    <xf numFmtId="4" fontId="27" fillId="0" borderId="0" xfId="0" applyNumberFormat="1" applyFont="1">
      <alignment vertical="center"/>
    </xf>
    <xf numFmtId="0" fontId="34" fillId="0" borderId="0" xfId="0" applyFont="1">
      <alignment vertical="center"/>
    </xf>
    <xf numFmtId="0" fontId="34" fillId="20" borderId="0" xfId="0" applyFont="1" applyFill="1">
      <alignment vertical="center"/>
    </xf>
    <xf numFmtId="4" fontId="34" fillId="20" borderId="12" xfId="0" applyNumberFormat="1" applyFont="1" applyFill="1" applyBorder="1">
      <alignment vertical="center"/>
    </xf>
    <xf numFmtId="4" fontId="34" fillId="20" borderId="13" xfId="0" applyNumberFormat="1" applyFont="1" applyFill="1" applyBorder="1">
      <alignment vertical="center"/>
    </xf>
    <xf numFmtId="4" fontId="34" fillId="20" borderId="0" xfId="0" applyNumberFormat="1" applyFont="1" applyFill="1">
      <alignment vertical="center"/>
    </xf>
    <xf numFmtId="4" fontId="34" fillId="17" borderId="0" xfId="0" applyNumberFormat="1" applyFont="1" applyFill="1">
      <alignment vertical="center"/>
    </xf>
    <xf numFmtId="0" fontId="35" fillId="0" borderId="0" xfId="0" applyFont="1">
      <alignment vertical="center"/>
    </xf>
    <xf numFmtId="0" fontId="35" fillId="20" borderId="0" xfId="0" applyFont="1" applyFill="1">
      <alignment vertical="center"/>
    </xf>
    <xf numFmtId="4" fontId="35" fillId="20" borderId="12" xfId="0" applyNumberFormat="1" applyFont="1" applyFill="1" applyBorder="1">
      <alignment vertical="center"/>
    </xf>
    <xf numFmtId="4" fontId="35" fillId="20" borderId="13" xfId="0" applyNumberFormat="1" applyFont="1" applyFill="1" applyBorder="1">
      <alignment vertical="center"/>
    </xf>
    <xf numFmtId="4" fontId="35" fillId="20" borderId="0" xfId="0" applyNumberFormat="1" applyFont="1" applyFill="1">
      <alignment vertical="center"/>
    </xf>
    <xf numFmtId="4" fontId="35" fillId="17" borderId="0" xfId="0" applyNumberFormat="1" applyFont="1" applyFill="1">
      <alignment vertical="center"/>
    </xf>
    <xf numFmtId="49" fontId="35" fillId="9" borderId="13" xfId="0" applyNumberFormat="1" applyFont="1" applyFill="1" applyBorder="1" applyAlignment="1">
      <alignment horizontal="center" vertical="center"/>
    </xf>
    <xf numFmtId="4" fontId="34" fillId="9" borderId="12" xfId="0" applyNumberFormat="1" applyFont="1" applyFill="1" applyBorder="1">
      <alignment vertical="center"/>
    </xf>
    <xf numFmtId="4" fontId="34" fillId="9" borderId="13" xfId="0" applyNumberFormat="1" applyFont="1" applyFill="1" applyBorder="1">
      <alignment vertical="center"/>
    </xf>
    <xf numFmtId="4" fontId="34" fillId="9" borderId="0" xfId="0" applyNumberFormat="1" applyFont="1" applyFill="1">
      <alignment vertical="center"/>
    </xf>
    <xf numFmtId="0" fontId="36" fillId="0" borderId="0" xfId="0" applyFont="1">
      <alignment vertical="center"/>
    </xf>
    <xf numFmtId="0" fontId="36" fillId="9" borderId="0" xfId="0" applyFont="1" applyFill="1">
      <alignment vertical="center"/>
    </xf>
    <xf numFmtId="4" fontId="36" fillId="9" borderId="12" xfId="0" applyNumberFormat="1" applyFont="1" applyFill="1" applyBorder="1">
      <alignment vertical="center"/>
    </xf>
    <xf numFmtId="4" fontId="36" fillId="9" borderId="13" xfId="0" applyNumberFormat="1" applyFont="1" applyFill="1" applyBorder="1">
      <alignment vertical="center"/>
    </xf>
    <xf numFmtId="4" fontId="36" fillId="9" borderId="0" xfId="0" applyNumberFormat="1" applyFont="1" applyFill="1">
      <alignment vertical="center"/>
    </xf>
    <xf numFmtId="4" fontId="36" fillId="17" borderId="0" xfId="0" applyNumberFormat="1" applyFont="1" applyFill="1">
      <alignment vertical="center"/>
    </xf>
    <xf numFmtId="0" fontId="35" fillId="9" borderId="0" xfId="0" applyFont="1" applyFill="1">
      <alignment vertical="center"/>
    </xf>
    <xf numFmtId="4" fontId="35" fillId="9" borderId="12" xfId="0" applyNumberFormat="1" applyFont="1" applyFill="1" applyBorder="1">
      <alignment vertical="center"/>
    </xf>
    <xf numFmtId="4" fontId="35" fillId="9" borderId="13" xfId="0" applyNumberFormat="1" applyFont="1" applyFill="1" applyBorder="1">
      <alignment vertical="center"/>
    </xf>
    <xf numFmtId="4" fontId="35" fillId="9" borderId="0" xfId="0" applyNumberFormat="1" applyFont="1" applyFill="1">
      <alignment vertical="center"/>
    </xf>
    <xf numFmtId="0" fontId="36" fillId="19" borderId="0" xfId="0" applyFont="1" applyFill="1">
      <alignment vertical="center"/>
    </xf>
    <xf numFmtId="49" fontId="34" fillId="19" borderId="13" xfId="0" applyNumberFormat="1" applyFont="1" applyFill="1" applyBorder="1" applyAlignment="1">
      <alignment horizontal="center" vertical="center"/>
    </xf>
    <xf numFmtId="4" fontId="36" fillId="19" borderId="12" xfId="0" applyNumberFormat="1" applyFont="1" applyFill="1" applyBorder="1">
      <alignment vertical="center"/>
    </xf>
    <xf numFmtId="4" fontId="36" fillId="19" borderId="13" xfId="0" applyNumberFormat="1" applyFont="1" applyFill="1" applyBorder="1">
      <alignment vertical="center"/>
    </xf>
    <xf numFmtId="4" fontId="36" fillId="19" borderId="0" xfId="0" applyNumberFormat="1" applyFont="1" applyFill="1">
      <alignment vertical="center"/>
    </xf>
    <xf numFmtId="0" fontId="34" fillId="19" borderId="0" xfId="0" applyFont="1" applyFill="1">
      <alignment vertical="center"/>
    </xf>
    <xf numFmtId="4" fontId="34" fillId="19" borderId="12" xfId="0" applyNumberFormat="1" applyFont="1" applyFill="1" applyBorder="1">
      <alignment vertical="center"/>
    </xf>
    <xf numFmtId="4" fontId="34" fillId="19" borderId="13" xfId="0" applyNumberFormat="1" applyFont="1" applyFill="1" applyBorder="1">
      <alignment vertical="center"/>
    </xf>
    <xf numFmtId="4" fontId="34" fillId="19" borderId="0" xfId="0" applyNumberFormat="1" applyFont="1" applyFill="1">
      <alignment vertical="center"/>
    </xf>
    <xf numFmtId="0" fontId="35" fillId="19" borderId="0" xfId="0" applyFont="1" applyFill="1">
      <alignment vertical="center"/>
    </xf>
    <xf numFmtId="4" fontId="35" fillId="19" borderId="12" xfId="0" applyNumberFormat="1" applyFont="1" applyFill="1" applyBorder="1">
      <alignment vertical="center"/>
    </xf>
    <xf numFmtId="4" fontId="35" fillId="19" borderId="13" xfId="0" applyNumberFormat="1" applyFont="1" applyFill="1" applyBorder="1">
      <alignment vertical="center"/>
    </xf>
    <xf numFmtId="4" fontId="35" fillId="19" borderId="0" xfId="0" applyNumberFormat="1" applyFont="1" applyFill="1">
      <alignment vertical="center"/>
    </xf>
    <xf numFmtId="0" fontId="36" fillId="11" borderId="0" xfId="0" applyFont="1" applyFill="1">
      <alignment vertical="center"/>
    </xf>
    <xf numFmtId="49" fontId="37" fillId="11" borderId="13" xfId="0" applyNumberFormat="1" applyFont="1" applyFill="1" applyBorder="1" applyAlignment="1">
      <alignment horizontal="center" vertical="center"/>
    </xf>
    <xf numFmtId="4" fontId="36" fillId="11" borderId="12" xfId="0" applyNumberFormat="1" applyFont="1" applyFill="1" applyBorder="1">
      <alignment vertical="center"/>
    </xf>
    <xf numFmtId="4" fontId="36" fillId="11" borderId="13" xfId="0" applyNumberFormat="1" applyFont="1" applyFill="1" applyBorder="1">
      <alignment vertical="center"/>
    </xf>
    <xf numFmtId="4" fontId="36" fillId="11" borderId="0" xfId="0" applyNumberFormat="1" applyFont="1" applyFill="1">
      <alignment vertical="center"/>
    </xf>
    <xf numFmtId="0" fontId="35" fillId="11" borderId="0" xfId="0" applyFont="1" applyFill="1">
      <alignment vertical="center"/>
    </xf>
    <xf numFmtId="4" fontId="35" fillId="11" borderId="12" xfId="0" applyNumberFormat="1" applyFont="1" applyFill="1" applyBorder="1">
      <alignment vertical="center"/>
    </xf>
    <xf numFmtId="4" fontId="35" fillId="11" borderId="13" xfId="0" applyNumberFormat="1" applyFont="1" applyFill="1" applyBorder="1">
      <alignment vertical="center"/>
    </xf>
    <xf numFmtId="4" fontId="35" fillId="11" borderId="0" xfId="0" applyNumberFormat="1" applyFont="1" applyFill="1">
      <alignment vertical="center"/>
    </xf>
    <xf numFmtId="0" fontId="34" fillId="11" borderId="0" xfId="0" applyFont="1" applyFill="1">
      <alignment vertical="center"/>
    </xf>
    <xf numFmtId="4" fontId="34" fillId="11" borderId="12" xfId="0" applyNumberFormat="1" applyFont="1" applyFill="1" applyBorder="1">
      <alignment vertical="center"/>
    </xf>
    <xf numFmtId="4" fontId="34" fillId="11" borderId="13" xfId="0" applyNumberFormat="1" applyFont="1" applyFill="1" applyBorder="1">
      <alignment vertical="center"/>
    </xf>
    <xf numFmtId="4" fontId="34" fillId="11" borderId="0" xfId="0" applyNumberFormat="1" applyFont="1" applyFill="1">
      <alignment vertical="center"/>
    </xf>
    <xf numFmtId="0" fontId="35" fillId="21" borderId="0" xfId="0" applyFont="1" applyFill="1">
      <alignment vertical="center"/>
    </xf>
    <xf numFmtId="49" fontId="38" fillId="21" borderId="13" xfId="0" applyNumberFormat="1" applyFont="1" applyFill="1" applyBorder="1" applyAlignment="1">
      <alignment horizontal="center" vertical="center"/>
    </xf>
    <xf numFmtId="4" fontId="35" fillId="21" borderId="12" xfId="0" applyNumberFormat="1" applyFont="1" applyFill="1" applyBorder="1">
      <alignment vertical="center"/>
    </xf>
    <xf numFmtId="4" fontId="35" fillId="21" borderId="13" xfId="0" applyNumberFormat="1" applyFont="1" applyFill="1" applyBorder="1">
      <alignment vertical="center"/>
    </xf>
    <xf numFmtId="4" fontId="35" fillId="21" borderId="0" xfId="0" applyNumberFormat="1" applyFont="1" applyFill="1">
      <alignment vertical="center"/>
    </xf>
    <xf numFmtId="4" fontId="34" fillId="21" borderId="12" xfId="0" applyNumberFormat="1" applyFont="1" applyFill="1" applyBorder="1">
      <alignment vertical="center"/>
    </xf>
    <xf numFmtId="4" fontId="34" fillId="21" borderId="0" xfId="0" applyNumberFormat="1" applyFont="1" applyFill="1">
      <alignment vertical="center"/>
    </xf>
    <xf numFmtId="0" fontId="36" fillId="21" borderId="0" xfId="0" applyFont="1" applyFill="1">
      <alignment vertical="center"/>
    </xf>
    <xf numFmtId="4" fontId="36" fillId="21" borderId="12" xfId="0" applyNumberFormat="1" applyFont="1" applyFill="1" applyBorder="1">
      <alignment vertical="center"/>
    </xf>
    <xf numFmtId="4" fontId="36" fillId="21" borderId="13" xfId="0" applyNumberFormat="1" applyFont="1" applyFill="1" applyBorder="1">
      <alignment vertical="center"/>
    </xf>
    <xf numFmtId="4" fontId="36" fillId="21" borderId="0" xfId="0" applyNumberFormat="1" applyFont="1" applyFill="1">
      <alignment vertical="center"/>
    </xf>
    <xf numFmtId="4" fontId="36" fillId="0" borderId="12" xfId="0" applyNumberFormat="1" applyFont="1" applyBorder="1">
      <alignment vertical="center"/>
    </xf>
    <xf numFmtId="4" fontId="36" fillId="0" borderId="0" xfId="0" applyNumberFormat="1" applyFont="1">
      <alignment vertical="center"/>
    </xf>
    <xf numFmtId="4" fontId="34" fillId="0" borderId="12" xfId="0" applyNumberFormat="1" applyFont="1" applyBorder="1">
      <alignment vertical="center"/>
    </xf>
    <xf numFmtId="4" fontId="34" fillId="0" borderId="0" xfId="0" applyNumberFormat="1" applyFont="1">
      <alignment vertical="center"/>
    </xf>
    <xf numFmtId="49" fontId="44" fillId="0" borderId="13" xfId="0" applyNumberFormat="1" applyFont="1" applyBorder="1" applyAlignment="1">
      <alignment horizontal="center" vertical="center"/>
    </xf>
    <xf numFmtId="0" fontId="27" fillId="0" borderId="14" xfId="0" applyFont="1" applyBorder="1">
      <alignment vertical="center"/>
    </xf>
    <xf numFmtId="10" fontId="27" fillId="0" borderId="19" xfId="2" applyNumberFormat="1" applyFont="1" applyBorder="1">
      <alignment vertical="center"/>
    </xf>
    <xf numFmtId="10" fontId="27" fillId="0" borderId="0" xfId="0" applyNumberFormat="1" applyFont="1">
      <alignment vertical="center"/>
    </xf>
    <xf numFmtId="0" fontId="36" fillId="6" borderId="0" xfId="0" applyFont="1" applyFill="1">
      <alignment vertical="center"/>
    </xf>
    <xf numFmtId="49" fontId="39" fillId="6" borderId="13" xfId="0" applyNumberFormat="1" applyFont="1" applyFill="1" applyBorder="1" applyAlignment="1">
      <alignment horizontal="center" vertical="center"/>
    </xf>
    <xf numFmtId="178" fontId="32" fillId="6" borderId="13" xfId="1" applyNumberFormat="1" applyFont="1" applyFill="1" applyBorder="1" applyAlignment="1">
      <alignment horizontal="right" vertical="center"/>
    </xf>
    <xf numFmtId="0" fontId="32" fillId="6" borderId="0" xfId="0" applyFont="1" applyFill="1" applyAlignment="1">
      <alignment horizontal="right" vertical="center"/>
    </xf>
    <xf numFmtId="4" fontId="32" fillId="6" borderId="12" xfId="0" applyNumberFormat="1" applyFont="1" applyFill="1" applyBorder="1">
      <alignment vertical="center"/>
    </xf>
    <xf numFmtId="4" fontId="32" fillId="6" borderId="13" xfId="0" applyNumberFormat="1" applyFont="1" applyFill="1" applyBorder="1">
      <alignment vertical="center"/>
    </xf>
    <xf numFmtId="4" fontId="36" fillId="6" borderId="12" xfId="0" applyNumberFormat="1" applyFont="1" applyFill="1" applyBorder="1">
      <alignment vertical="center"/>
    </xf>
    <xf numFmtId="4" fontId="36" fillId="6" borderId="0" xfId="0" applyNumberFormat="1" applyFont="1" applyFill="1">
      <alignment vertical="center"/>
    </xf>
    <xf numFmtId="4" fontId="36" fillId="6" borderId="13" xfId="0" applyNumberFormat="1" applyFont="1" applyFill="1" applyBorder="1">
      <alignment vertical="center"/>
    </xf>
    <xf numFmtId="0" fontId="34" fillId="6" borderId="0" xfId="0" applyFont="1" applyFill="1">
      <alignment vertical="center"/>
    </xf>
    <xf numFmtId="178" fontId="31" fillId="6" borderId="13" xfId="1" applyNumberFormat="1" applyFont="1" applyFill="1" applyBorder="1" applyAlignment="1">
      <alignment horizontal="right" vertical="center"/>
    </xf>
    <xf numFmtId="0" fontId="31" fillId="6" borderId="0" xfId="0" applyFont="1" applyFill="1" applyAlignment="1">
      <alignment horizontal="right" vertical="center"/>
    </xf>
    <xf numFmtId="4" fontId="31" fillId="6" borderId="12" xfId="0" applyNumberFormat="1" applyFont="1" applyFill="1" applyBorder="1">
      <alignment vertical="center"/>
    </xf>
    <xf numFmtId="4" fontId="31" fillId="6" borderId="13" xfId="0" applyNumberFormat="1" applyFont="1" applyFill="1" applyBorder="1">
      <alignment vertical="center"/>
    </xf>
    <xf numFmtId="4" fontId="34" fillId="6" borderId="12" xfId="0" applyNumberFormat="1" applyFont="1" applyFill="1" applyBorder="1">
      <alignment vertical="center"/>
    </xf>
    <xf numFmtId="4" fontId="34" fillId="6" borderId="0" xfId="0" applyNumberFormat="1" applyFont="1" applyFill="1">
      <alignment vertical="center"/>
    </xf>
    <xf numFmtId="4" fontId="34" fillId="6" borderId="13" xfId="0" applyNumberFormat="1" applyFont="1" applyFill="1" applyBorder="1">
      <alignment vertical="center"/>
    </xf>
    <xf numFmtId="0" fontId="35" fillId="6" borderId="0" xfId="0" applyFont="1" applyFill="1">
      <alignment vertical="center"/>
    </xf>
    <xf numFmtId="178" fontId="30" fillId="6" borderId="13" xfId="1" applyNumberFormat="1" applyFont="1" applyFill="1" applyBorder="1" applyAlignment="1">
      <alignment horizontal="right" vertical="center"/>
    </xf>
    <xf numFmtId="0" fontId="30" fillId="6" borderId="0" xfId="0" applyFont="1" applyFill="1" applyAlignment="1">
      <alignment horizontal="right" vertical="center"/>
    </xf>
    <xf numFmtId="4" fontId="30" fillId="6" borderId="12" xfId="0" applyNumberFormat="1" applyFont="1" applyFill="1" applyBorder="1">
      <alignment vertical="center"/>
    </xf>
    <xf numFmtId="4" fontId="30" fillId="6" borderId="13" xfId="0" applyNumberFormat="1" applyFont="1" applyFill="1" applyBorder="1">
      <alignment vertical="center"/>
    </xf>
    <xf numFmtId="4" fontId="35" fillId="6" borderId="12" xfId="0" applyNumberFormat="1" applyFont="1" applyFill="1" applyBorder="1">
      <alignment vertical="center"/>
    </xf>
    <xf numFmtId="4" fontId="35" fillId="6" borderId="0" xfId="0" applyNumberFormat="1" applyFont="1" applyFill="1">
      <alignment vertical="center"/>
    </xf>
    <xf numFmtId="4" fontId="35" fillId="6" borderId="13" xfId="0" applyNumberFormat="1" applyFont="1" applyFill="1" applyBorder="1">
      <alignment vertical="center"/>
    </xf>
    <xf numFmtId="0" fontId="34" fillId="22" borderId="0" xfId="0" applyFont="1" applyFill="1">
      <alignment vertical="center"/>
    </xf>
    <xf numFmtId="49" fontId="40" fillId="22" borderId="13" xfId="0" applyNumberFormat="1" applyFont="1" applyFill="1" applyBorder="1" applyAlignment="1">
      <alignment horizontal="center" vertical="center"/>
    </xf>
    <xf numFmtId="178" fontId="31" fillId="22" borderId="13" xfId="1" applyNumberFormat="1" applyFont="1" applyFill="1" applyBorder="1" applyAlignment="1">
      <alignment horizontal="right" vertical="center"/>
    </xf>
    <xf numFmtId="0" fontId="31" fillId="22" borderId="0" xfId="0" applyFont="1" applyFill="1" applyAlignment="1">
      <alignment horizontal="right" vertical="center"/>
    </xf>
    <xf numFmtId="4" fontId="31" fillId="22" borderId="12" xfId="0" applyNumberFormat="1" applyFont="1" applyFill="1" applyBorder="1">
      <alignment vertical="center"/>
    </xf>
    <xf numFmtId="4" fontId="31" fillId="22" borderId="13" xfId="0" applyNumberFormat="1" applyFont="1" applyFill="1" applyBorder="1">
      <alignment vertical="center"/>
    </xf>
    <xf numFmtId="4" fontId="34" fillId="22" borderId="12" xfId="0" applyNumberFormat="1" applyFont="1" applyFill="1" applyBorder="1">
      <alignment vertical="center"/>
    </xf>
    <xf numFmtId="4" fontId="34" fillId="22" borderId="0" xfId="0" applyNumberFormat="1" applyFont="1" applyFill="1">
      <alignment vertical="center"/>
    </xf>
    <xf numFmtId="4" fontId="34" fillId="22" borderId="13" xfId="0" applyNumberFormat="1" applyFont="1" applyFill="1" applyBorder="1">
      <alignment vertical="center"/>
    </xf>
    <xf numFmtId="178" fontId="30" fillId="22" borderId="13" xfId="1" applyNumberFormat="1" applyFont="1" applyFill="1" applyBorder="1" applyAlignment="1">
      <alignment horizontal="right" vertical="center"/>
    </xf>
    <xf numFmtId="4" fontId="30" fillId="22" borderId="12" xfId="0" applyNumberFormat="1" applyFont="1" applyFill="1" applyBorder="1">
      <alignment vertical="center"/>
    </xf>
    <xf numFmtId="4" fontId="30" fillId="22" borderId="13" xfId="0" applyNumberFormat="1" applyFont="1" applyFill="1" applyBorder="1">
      <alignment vertical="center"/>
    </xf>
    <xf numFmtId="4" fontId="35" fillId="22" borderId="12" xfId="0" applyNumberFormat="1" applyFont="1" applyFill="1" applyBorder="1">
      <alignment vertical="center"/>
    </xf>
    <xf numFmtId="4" fontId="35" fillId="22" borderId="0" xfId="0" applyNumberFormat="1" applyFont="1" applyFill="1">
      <alignment vertical="center"/>
    </xf>
    <xf numFmtId="4" fontId="35" fillId="22" borderId="13" xfId="0" applyNumberFormat="1" applyFont="1" applyFill="1" applyBorder="1">
      <alignment vertical="center"/>
    </xf>
    <xf numFmtId="0" fontId="36" fillId="22" borderId="0" xfId="0" applyFont="1" applyFill="1">
      <alignment vertical="center"/>
    </xf>
    <xf numFmtId="178" fontId="32" fillId="22" borderId="13" xfId="1" applyNumberFormat="1" applyFont="1" applyFill="1" applyBorder="1" applyAlignment="1">
      <alignment horizontal="right" vertical="center"/>
    </xf>
    <xf numFmtId="0" fontId="32" fillId="22" borderId="0" xfId="0" applyFont="1" applyFill="1" applyAlignment="1">
      <alignment horizontal="right" vertical="center"/>
    </xf>
    <xf numFmtId="4" fontId="32" fillId="22" borderId="12" xfId="0" applyNumberFormat="1" applyFont="1" applyFill="1" applyBorder="1">
      <alignment vertical="center"/>
    </xf>
    <xf numFmtId="4" fontId="32" fillId="22" borderId="13" xfId="0" applyNumberFormat="1" applyFont="1" applyFill="1" applyBorder="1">
      <alignment vertical="center"/>
    </xf>
    <xf numFmtId="4" fontId="36" fillId="22" borderId="12" xfId="0" applyNumberFormat="1" applyFont="1" applyFill="1" applyBorder="1">
      <alignment vertical="center"/>
    </xf>
    <xf numFmtId="4" fontId="36" fillId="22" borderId="0" xfId="0" applyNumberFormat="1" applyFont="1" applyFill="1">
      <alignment vertical="center"/>
    </xf>
    <xf numFmtId="4" fontId="36" fillId="22" borderId="13" xfId="0" applyNumberFormat="1" applyFont="1" applyFill="1" applyBorder="1">
      <alignment vertical="center"/>
    </xf>
    <xf numFmtId="0" fontId="36" fillId="25" borderId="0" xfId="0" applyFont="1" applyFill="1">
      <alignment vertical="center"/>
    </xf>
    <xf numFmtId="49" fontId="41" fillId="25" borderId="13" xfId="0" applyNumberFormat="1" applyFont="1" applyFill="1" applyBorder="1" applyAlignment="1">
      <alignment horizontal="center" vertical="center"/>
    </xf>
    <xf numFmtId="178" fontId="32" fillId="25" borderId="13" xfId="1" applyNumberFormat="1" applyFont="1" applyFill="1" applyBorder="1" applyAlignment="1">
      <alignment horizontal="right" vertical="center"/>
    </xf>
    <xf numFmtId="0" fontId="32" fillId="25" borderId="0" xfId="0" applyFont="1" applyFill="1" applyAlignment="1">
      <alignment horizontal="right" vertical="center"/>
    </xf>
    <xf numFmtId="4" fontId="32" fillId="25" borderId="12" xfId="0" applyNumberFormat="1" applyFont="1" applyFill="1" applyBorder="1">
      <alignment vertical="center"/>
    </xf>
    <xf numFmtId="4" fontId="32" fillId="25" borderId="13" xfId="0" applyNumberFormat="1" applyFont="1" applyFill="1" applyBorder="1">
      <alignment vertical="center"/>
    </xf>
    <xf numFmtId="4" fontId="36" fillId="25" borderId="12" xfId="0" applyNumberFormat="1" applyFont="1" applyFill="1" applyBorder="1">
      <alignment vertical="center"/>
    </xf>
    <xf numFmtId="4" fontId="36" fillId="25" borderId="0" xfId="0" applyNumberFormat="1" applyFont="1" applyFill="1">
      <alignment vertical="center"/>
    </xf>
    <xf numFmtId="4" fontId="36" fillId="25" borderId="13" xfId="0" applyNumberFormat="1" applyFont="1" applyFill="1" applyBorder="1">
      <alignment vertical="center"/>
    </xf>
    <xf numFmtId="0" fontId="35" fillId="25" borderId="0" xfId="0" applyFont="1" applyFill="1">
      <alignment vertical="center"/>
    </xf>
    <xf numFmtId="178" fontId="30" fillId="25" borderId="13" xfId="1" applyNumberFormat="1" applyFont="1" applyFill="1" applyBorder="1" applyAlignment="1">
      <alignment horizontal="right" vertical="center"/>
    </xf>
    <xf numFmtId="0" fontId="30" fillId="25" borderId="0" xfId="0" applyFont="1" applyFill="1" applyAlignment="1">
      <alignment horizontal="right" vertical="center"/>
    </xf>
    <xf numFmtId="4" fontId="30" fillId="25" borderId="12" xfId="0" applyNumberFormat="1" applyFont="1" applyFill="1" applyBorder="1">
      <alignment vertical="center"/>
    </xf>
    <xf numFmtId="4" fontId="30" fillId="25" borderId="13" xfId="0" applyNumberFormat="1" applyFont="1" applyFill="1" applyBorder="1">
      <alignment vertical="center"/>
    </xf>
    <xf numFmtId="4" fontId="35" fillId="25" borderId="12" xfId="0" applyNumberFormat="1" applyFont="1" applyFill="1" applyBorder="1">
      <alignment vertical="center"/>
    </xf>
    <xf numFmtId="4" fontId="35" fillId="25" borderId="0" xfId="0" applyNumberFormat="1" applyFont="1" applyFill="1">
      <alignment vertical="center"/>
    </xf>
    <xf numFmtId="4" fontId="35" fillId="25" borderId="13" xfId="0" applyNumberFormat="1" applyFont="1" applyFill="1" applyBorder="1">
      <alignment vertical="center"/>
    </xf>
    <xf numFmtId="0" fontId="34" fillId="25" borderId="0" xfId="0" applyFont="1" applyFill="1">
      <alignment vertical="center"/>
    </xf>
    <xf numFmtId="178" fontId="31" fillId="25" borderId="13" xfId="1" applyNumberFormat="1" applyFont="1" applyFill="1" applyBorder="1" applyAlignment="1">
      <alignment horizontal="right" vertical="center"/>
    </xf>
    <xf numFmtId="0" fontId="31" fillId="25" borderId="0" xfId="0" applyFont="1" applyFill="1" applyAlignment="1">
      <alignment horizontal="right" vertical="center"/>
    </xf>
    <xf numFmtId="4" fontId="31" fillId="25" borderId="12" xfId="0" applyNumberFormat="1" applyFont="1" applyFill="1" applyBorder="1">
      <alignment vertical="center"/>
    </xf>
    <xf numFmtId="4" fontId="31" fillId="25" borderId="13" xfId="0" applyNumberFormat="1" applyFont="1" applyFill="1" applyBorder="1">
      <alignment vertical="center"/>
    </xf>
    <xf numFmtId="4" fontId="34" fillId="25" borderId="12" xfId="0" applyNumberFormat="1" applyFont="1" applyFill="1" applyBorder="1">
      <alignment vertical="center"/>
    </xf>
    <xf numFmtId="4" fontId="34" fillId="25" borderId="0" xfId="0" applyNumberFormat="1" applyFont="1" applyFill="1">
      <alignment vertical="center"/>
    </xf>
    <xf numFmtId="4" fontId="34" fillId="25" borderId="13" xfId="0" applyNumberFormat="1" applyFont="1" applyFill="1" applyBorder="1">
      <alignment vertical="center"/>
    </xf>
    <xf numFmtId="0" fontId="34" fillId="26" borderId="0" xfId="0" applyFont="1" applyFill="1">
      <alignment vertical="center"/>
    </xf>
    <xf numFmtId="49" fontId="38" fillId="26" borderId="13" xfId="0" applyNumberFormat="1" applyFont="1" applyFill="1" applyBorder="1" applyAlignment="1">
      <alignment horizontal="center" vertical="center"/>
    </xf>
    <xf numFmtId="178" fontId="31" fillId="26" borderId="13" xfId="1" applyNumberFormat="1" applyFont="1" applyFill="1" applyBorder="1" applyAlignment="1">
      <alignment horizontal="right" vertical="center"/>
    </xf>
    <xf numFmtId="0" fontId="31" fillId="26" borderId="0" xfId="0" applyFont="1" applyFill="1" applyAlignment="1">
      <alignment horizontal="right" vertical="center"/>
    </xf>
    <xf numFmtId="4" fontId="31" fillId="26" borderId="12" xfId="0" applyNumberFormat="1" applyFont="1" applyFill="1" applyBorder="1">
      <alignment vertical="center"/>
    </xf>
    <xf numFmtId="4" fontId="31" fillId="26" borderId="13" xfId="0" applyNumberFormat="1" applyFont="1" applyFill="1" applyBorder="1">
      <alignment vertical="center"/>
    </xf>
    <xf numFmtId="4" fontId="34" fillId="26" borderId="12" xfId="0" applyNumberFormat="1" applyFont="1" applyFill="1" applyBorder="1">
      <alignment vertical="center"/>
    </xf>
    <xf numFmtId="4" fontId="34" fillId="26" borderId="0" xfId="0" applyNumberFormat="1" applyFont="1" applyFill="1">
      <alignment vertical="center"/>
    </xf>
    <xf numFmtId="4" fontId="34" fillId="26" borderId="13" xfId="0" applyNumberFormat="1" applyFont="1" applyFill="1" applyBorder="1">
      <alignment vertical="center"/>
    </xf>
    <xf numFmtId="0" fontId="36" fillId="26" borderId="0" xfId="0" applyFont="1" applyFill="1">
      <alignment vertical="center"/>
    </xf>
    <xf numFmtId="178" fontId="32" fillId="26" borderId="13" xfId="1" applyNumberFormat="1" applyFont="1" applyFill="1" applyBorder="1" applyAlignment="1">
      <alignment horizontal="right" vertical="center"/>
    </xf>
    <xf numFmtId="0" fontId="32" fillId="26" borderId="0" xfId="0" applyFont="1" applyFill="1" applyAlignment="1">
      <alignment horizontal="right" vertical="center"/>
    </xf>
    <xf numFmtId="4" fontId="32" fillId="26" borderId="12" xfId="0" applyNumberFormat="1" applyFont="1" applyFill="1" applyBorder="1">
      <alignment vertical="center"/>
    </xf>
    <xf numFmtId="4" fontId="32" fillId="26" borderId="13" xfId="0" applyNumberFormat="1" applyFont="1" applyFill="1" applyBorder="1">
      <alignment vertical="center"/>
    </xf>
    <xf numFmtId="4" fontId="36" fillId="26" borderId="12" xfId="0" applyNumberFormat="1" applyFont="1" applyFill="1" applyBorder="1">
      <alignment vertical="center"/>
    </xf>
    <xf numFmtId="4" fontId="36" fillId="26" borderId="0" xfId="0" applyNumberFormat="1" applyFont="1" applyFill="1">
      <alignment vertical="center"/>
    </xf>
    <xf numFmtId="4" fontId="36" fillId="26" borderId="13" xfId="0" applyNumberFormat="1" applyFont="1" applyFill="1" applyBorder="1">
      <alignment vertical="center"/>
    </xf>
    <xf numFmtId="0" fontId="35" fillId="26" borderId="0" xfId="0" applyFont="1" applyFill="1">
      <alignment vertical="center"/>
    </xf>
    <xf numFmtId="178" fontId="30" fillId="26" borderId="13" xfId="1" applyNumberFormat="1" applyFont="1" applyFill="1" applyBorder="1" applyAlignment="1">
      <alignment horizontal="right" vertical="center"/>
    </xf>
    <xf numFmtId="0" fontId="30" fillId="26" borderId="0" xfId="0" applyFont="1" applyFill="1" applyAlignment="1">
      <alignment horizontal="right" vertical="center"/>
    </xf>
    <xf numFmtId="4" fontId="30" fillId="26" borderId="12" xfId="0" applyNumberFormat="1" applyFont="1" applyFill="1" applyBorder="1">
      <alignment vertical="center"/>
    </xf>
    <xf numFmtId="4" fontId="30" fillId="26" borderId="13" xfId="0" applyNumberFormat="1" applyFont="1" applyFill="1" applyBorder="1">
      <alignment vertical="center"/>
    </xf>
    <xf numFmtId="4" fontId="35" fillId="26" borderId="12" xfId="0" applyNumberFormat="1" applyFont="1" applyFill="1" applyBorder="1">
      <alignment vertical="center"/>
    </xf>
    <xf numFmtId="4" fontId="35" fillId="26" borderId="0" xfId="0" applyNumberFormat="1" applyFont="1" applyFill="1">
      <alignment vertical="center"/>
    </xf>
    <xf numFmtId="4" fontId="35" fillId="26" borderId="13" xfId="0" applyNumberFormat="1" applyFont="1" applyFill="1" applyBorder="1">
      <alignment vertical="center"/>
    </xf>
    <xf numFmtId="0" fontId="35" fillId="27" borderId="0" xfId="0" applyFont="1" applyFill="1">
      <alignment vertical="center"/>
    </xf>
    <xf numFmtId="49" fontId="43" fillId="27" borderId="13" xfId="0" applyNumberFormat="1" applyFont="1" applyFill="1" applyBorder="1" applyAlignment="1">
      <alignment horizontal="center" vertical="center"/>
    </xf>
    <xf numFmtId="178" fontId="30" fillId="27" borderId="13" xfId="1" applyNumberFormat="1" applyFont="1" applyFill="1" applyBorder="1" applyAlignment="1">
      <alignment horizontal="right" vertical="center"/>
    </xf>
    <xf numFmtId="0" fontId="30" fillId="27" borderId="0" xfId="0" applyFont="1" applyFill="1" applyAlignment="1">
      <alignment horizontal="right" vertical="center"/>
    </xf>
    <xf numFmtId="4" fontId="30" fillId="27" borderId="12" xfId="0" applyNumberFormat="1" applyFont="1" applyFill="1" applyBorder="1">
      <alignment vertical="center"/>
    </xf>
    <xf numFmtId="4" fontId="30" fillId="27" borderId="13" xfId="0" applyNumberFormat="1" applyFont="1" applyFill="1" applyBorder="1">
      <alignment vertical="center"/>
    </xf>
    <xf numFmtId="4" fontId="35" fillId="27" borderId="12" xfId="0" applyNumberFormat="1" applyFont="1" applyFill="1" applyBorder="1">
      <alignment vertical="center"/>
    </xf>
    <xf numFmtId="4" fontId="35" fillId="27" borderId="0" xfId="0" applyNumberFormat="1" applyFont="1" applyFill="1">
      <alignment vertical="center"/>
    </xf>
    <xf numFmtId="4" fontId="35" fillId="27" borderId="13" xfId="0" applyNumberFormat="1" applyFont="1" applyFill="1" applyBorder="1">
      <alignment vertical="center"/>
    </xf>
    <xf numFmtId="0" fontId="36" fillId="27" borderId="0" xfId="0" applyFont="1" applyFill="1">
      <alignment vertical="center"/>
    </xf>
    <xf numFmtId="178" fontId="32" fillId="27" borderId="13" xfId="1" applyNumberFormat="1" applyFont="1" applyFill="1" applyBorder="1" applyAlignment="1">
      <alignment horizontal="right" vertical="center"/>
    </xf>
    <xf numFmtId="0" fontId="32" fillId="27" borderId="0" xfId="0" applyFont="1" applyFill="1" applyAlignment="1">
      <alignment horizontal="right" vertical="center"/>
    </xf>
    <xf numFmtId="4" fontId="32" fillId="27" borderId="12" xfId="0" applyNumberFormat="1" applyFont="1" applyFill="1" applyBorder="1">
      <alignment vertical="center"/>
    </xf>
    <xf numFmtId="4" fontId="32" fillId="27" borderId="13" xfId="0" applyNumberFormat="1" applyFont="1" applyFill="1" applyBorder="1">
      <alignment vertical="center"/>
    </xf>
    <xf numFmtId="4" fontId="36" fillId="27" borderId="12" xfId="0" applyNumberFormat="1" applyFont="1" applyFill="1" applyBorder="1">
      <alignment vertical="center"/>
    </xf>
    <xf numFmtId="4" fontId="36" fillId="27" borderId="0" xfId="0" applyNumberFormat="1" applyFont="1" applyFill="1">
      <alignment vertical="center"/>
    </xf>
    <xf numFmtId="4" fontId="36" fillId="27" borderId="13" xfId="0" applyNumberFormat="1" applyFont="1" applyFill="1" applyBorder="1">
      <alignment vertical="center"/>
    </xf>
    <xf numFmtId="4" fontId="34" fillId="27" borderId="12" xfId="0" applyNumberFormat="1" applyFont="1" applyFill="1" applyBorder="1">
      <alignment vertical="center"/>
    </xf>
    <xf numFmtId="4" fontId="34" fillId="27" borderId="0" xfId="0" applyNumberFormat="1" applyFont="1" applyFill="1">
      <alignment vertical="center"/>
    </xf>
    <xf numFmtId="0" fontId="34" fillId="28" borderId="0" xfId="0" applyFont="1" applyFill="1">
      <alignment vertical="center"/>
    </xf>
    <xf numFmtId="49" fontId="42" fillId="28" borderId="13" xfId="0" applyNumberFormat="1" applyFont="1" applyFill="1" applyBorder="1" applyAlignment="1">
      <alignment horizontal="center" vertical="center"/>
    </xf>
    <xf numFmtId="178" fontId="31" fillId="28" borderId="13" xfId="1" applyNumberFormat="1" applyFont="1" applyFill="1" applyBorder="1" applyAlignment="1">
      <alignment horizontal="right" vertical="center"/>
    </xf>
    <xf numFmtId="0" fontId="31" fillId="28" borderId="0" xfId="0" applyFont="1" applyFill="1" applyAlignment="1">
      <alignment horizontal="right" vertical="center"/>
    </xf>
    <xf numFmtId="4" fontId="31" fillId="28" borderId="12" xfId="0" applyNumberFormat="1" applyFont="1" applyFill="1" applyBorder="1">
      <alignment vertical="center"/>
    </xf>
    <xf numFmtId="4" fontId="31" fillId="28" borderId="13" xfId="0" applyNumberFormat="1" applyFont="1" applyFill="1" applyBorder="1">
      <alignment vertical="center"/>
    </xf>
    <xf numFmtId="4" fontId="34" fillId="28" borderId="12" xfId="0" applyNumberFormat="1" applyFont="1" applyFill="1" applyBorder="1">
      <alignment vertical="center"/>
    </xf>
    <xf numFmtId="4" fontId="34" fillId="28" borderId="0" xfId="0" applyNumberFormat="1" applyFont="1" applyFill="1">
      <alignment vertical="center"/>
    </xf>
    <xf numFmtId="4" fontId="34" fillId="28" borderId="13" xfId="0" applyNumberFormat="1" applyFont="1" applyFill="1" applyBorder="1">
      <alignment vertical="center"/>
    </xf>
    <xf numFmtId="0" fontId="35" fillId="28" borderId="0" xfId="0" applyFont="1" applyFill="1">
      <alignment vertical="center"/>
    </xf>
    <xf numFmtId="178" fontId="30" fillId="28" borderId="13" xfId="1" applyNumberFormat="1" applyFont="1" applyFill="1" applyBorder="1" applyAlignment="1">
      <alignment horizontal="right" vertical="center"/>
    </xf>
    <xf numFmtId="0" fontId="30" fillId="28" borderId="0" xfId="0" applyFont="1" applyFill="1" applyAlignment="1">
      <alignment horizontal="right" vertical="center"/>
    </xf>
    <xf numFmtId="4" fontId="30" fillId="28" borderId="12" xfId="0" applyNumberFormat="1" applyFont="1" applyFill="1" applyBorder="1">
      <alignment vertical="center"/>
    </xf>
    <xf numFmtId="4" fontId="30" fillId="28" borderId="13" xfId="0" applyNumberFormat="1" applyFont="1" applyFill="1" applyBorder="1">
      <alignment vertical="center"/>
    </xf>
    <xf numFmtId="4" fontId="35" fillId="28" borderId="12" xfId="0" applyNumberFormat="1" applyFont="1" applyFill="1" applyBorder="1">
      <alignment vertical="center"/>
    </xf>
    <xf numFmtId="4" fontId="35" fillId="28" borderId="0" xfId="0" applyNumberFormat="1" applyFont="1" applyFill="1">
      <alignment vertical="center"/>
    </xf>
    <xf numFmtId="4" fontId="35" fillId="28" borderId="13" xfId="0" applyNumberFormat="1" applyFont="1" applyFill="1" applyBorder="1">
      <alignment vertical="center"/>
    </xf>
    <xf numFmtId="0" fontId="36" fillId="28" borderId="0" xfId="0" applyFont="1" applyFill="1">
      <alignment vertical="center"/>
    </xf>
    <xf numFmtId="178" fontId="32" fillId="28" borderId="13" xfId="1" applyNumberFormat="1" applyFont="1" applyFill="1" applyBorder="1" applyAlignment="1">
      <alignment horizontal="right" vertical="center"/>
    </xf>
    <xf numFmtId="0" fontId="32" fillId="28" borderId="0" xfId="0" applyFont="1" applyFill="1" applyAlignment="1">
      <alignment horizontal="right" vertical="center"/>
    </xf>
    <xf numFmtId="4" fontId="32" fillId="28" borderId="12" xfId="0" applyNumberFormat="1" applyFont="1" applyFill="1" applyBorder="1">
      <alignment vertical="center"/>
    </xf>
    <xf numFmtId="4" fontId="32" fillId="28" borderId="13" xfId="0" applyNumberFormat="1" applyFont="1" applyFill="1" applyBorder="1">
      <alignment vertical="center"/>
    </xf>
    <xf numFmtId="4" fontId="36" fillId="28" borderId="12" xfId="0" applyNumberFormat="1" applyFont="1" applyFill="1" applyBorder="1">
      <alignment vertical="center"/>
    </xf>
    <xf numFmtId="4" fontId="36" fillId="28" borderId="0" xfId="0" applyNumberFormat="1" applyFont="1" applyFill="1">
      <alignment vertical="center"/>
    </xf>
    <xf numFmtId="4" fontId="36" fillId="28" borderId="13" xfId="0" applyNumberFormat="1" applyFont="1" applyFill="1" applyBorder="1">
      <alignment vertical="center"/>
    </xf>
    <xf numFmtId="178" fontId="32" fillId="0" borderId="13" xfId="1" applyNumberFormat="1" applyFont="1" applyBorder="1" applyAlignment="1">
      <alignment horizontal="right" vertical="center"/>
    </xf>
    <xf numFmtId="0" fontId="32" fillId="0" borderId="0" xfId="0" applyFont="1" applyAlignment="1">
      <alignment horizontal="right" vertical="center"/>
    </xf>
    <xf numFmtId="4" fontId="32" fillId="0" borderId="12" xfId="0" applyNumberFormat="1" applyFont="1" applyBorder="1">
      <alignment vertical="center"/>
    </xf>
    <xf numFmtId="4" fontId="32" fillId="0" borderId="13" xfId="0" applyNumberFormat="1" applyFont="1" applyBorder="1">
      <alignment vertical="center"/>
    </xf>
    <xf numFmtId="4" fontId="36" fillId="0" borderId="13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22" fontId="0" fillId="0" borderId="0" xfId="0" applyNumberFormat="1">
      <alignment vertical="center"/>
    </xf>
    <xf numFmtId="179" fontId="25" fillId="0" borderId="0" xfId="0" applyNumberFormat="1" applyFont="1" applyAlignment="1">
      <alignment horizontal="right" vertical="center"/>
    </xf>
    <xf numFmtId="43" fontId="23" fillId="7" borderId="8" xfId="1" applyFont="1" applyFill="1" applyBorder="1">
      <alignment vertical="center"/>
    </xf>
    <xf numFmtId="43" fontId="0" fillId="0" borderId="0" xfId="1" applyFont="1" applyAlignment="1">
      <alignment horizontal="right" vertical="center"/>
    </xf>
    <xf numFmtId="43" fontId="0" fillId="0" borderId="0" xfId="1" applyFont="1">
      <alignment vertical="center"/>
    </xf>
    <xf numFmtId="177" fontId="23" fillId="7" borderId="8" xfId="1" applyNumberFormat="1" applyFont="1" applyFill="1" applyBorder="1">
      <alignment vertical="center"/>
    </xf>
    <xf numFmtId="177" fontId="0" fillId="0" borderId="0" xfId="1" applyNumberFormat="1" applyFont="1" applyAlignment="1">
      <alignment horizontal="right" vertical="center"/>
    </xf>
    <xf numFmtId="177" fontId="0" fillId="0" borderId="0" xfId="1" applyNumberFormat="1" applyFont="1">
      <alignment vertical="center"/>
    </xf>
    <xf numFmtId="0" fontId="34" fillId="27" borderId="0" xfId="0" applyFont="1" applyFill="1">
      <alignment vertical="center"/>
    </xf>
    <xf numFmtId="178" fontId="31" fillId="27" borderId="13" xfId="1" applyNumberFormat="1" applyFont="1" applyFill="1" applyBorder="1" applyAlignment="1">
      <alignment horizontal="right" vertical="center"/>
    </xf>
    <xf numFmtId="0" fontId="31" fillId="27" borderId="0" xfId="0" applyFont="1" applyFill="1" applyAlignment="1">
      <alignment horizontal="right" vertical="center"/>
    </xf>
    <xf numFmtId="4" fontId="31" fillId="27" borderId="12" xfId="0" applyNumberFormat="1" applyFont="1" applyFill="1" applyBorder="1">
      <alignment vertical="center"/>
    </xf>
    <xf numFmtId="4" fontId="31" fillId="27" borderId="13" xfId="0" applyNumberFormat="1" applyFont="1" applyFill="1" applyBorder="1">
      <alignment vertical="center"/>
    </xf>
    <xf numFmtId="4" fontId="34" fillId="27" borderId="13" xfId="0" applyNumberFormat="1" applyFont="1" applyFill="1" applyBorder="1">
      <alignment vertical="center"/>
    </xf>
    <xf numFmtId="0" fontId="35" fillId="22" borderId="0" xfId="0" applyFont="1" applyFill="1">
      <alignment vertical="center"/>
    </xf>
    <xf numFmtId="0" fontId="30" fillId="22" borderId="0" xfId="0" applyFont="1" applyFill="1" applyAlignment="1">
      <alignment horizontal="right" vertical="center"/>
    </xf>
    <xf numFmtId="0" fontId="34" fillId="9" borderId="0" xfId="0" applyFont="1" applyFill="1">
      <alignment vertical="center"/>
    </xf>
    <xf numFmtId="0" fontId="31" fillId="9" borderId="0" xfId="0" applyFont="1" applyFill="1" applyAlignment="1">
      <alignment horizontal="right" vertical="center"/>
    </xf>
    <xf numFmtId="178" fontId="31" fillId="0" borderId="13" xfId="1" applyNumberFormat="1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4" fontId="31" fillId="0" borderId="12" xfId="0" applyNumberFormat="1" applyFont="1" applyBorder="1">
      <alignment vertical="center"/>
    </xf>
    <xf numFmtId="4" fontId="31" fillId="0" borderId="13" xfId="0" applyNumberFormat="1" applyFont="1" applyBorder="1">
      <alignment vertical="center"/>
    </xf>
    <xf numFmtId="4" fontId="34" fillId="0" borderId="13" xfId="0" applyNumberFormat="1" applyFont="1" applyBorder="1">
      <alignment vertical="center"/>
    </xf>
    <xf numFmtId="0" fontId="34" fillId="0" borderId="0" xfId="0" applyFont="1" applyBorder="1">
      <alignment vertical="center"/>
    </xf>
    <xf numFmtId="0" fontId="27" fillId="0" borderId="19" xfId="0" applyFont="1" applyBorder="1">
      <alignment vertical="center"/>
    </xf>
    <xf numFmtId="0" fontId="34" fillId="21" borderId="0" xfId="0" applyFont="1" applyFill="1" applyBorder="1">
      <alignment vertical="center"/>
    </xf>
    <xf numFmtId="49" fontId="44" fillId="0" borderId="15" xfId="0" applyNumberFormat="1" applyFont="1" applyBorder="1" applyAlignment="1">
      <alignment horizontal="center" vertical="center"/>
    </xf>
    <xf numFmtId="178" fontId="31" fillId="21" borderId="13" xfId="1" applyNumberFormat="1" applyFont="1" applyFill="1" applyBorder="1" applyAlignment="1">
      <alignment horizontal="right" vertical="center"/>
    </xf>
    <xf numFmtId="178" fontId="29" fillId="0" borderId="15" xfId="1" applyNumberFormat="1" applyFont="1" applyBorder="1" applyAlignment="1">
      <alignment horizontal="right" vertical="center"/>
    </xf>
    <xf numFmtId="0" fontId="31" fillId="21" borderId="0" xfId="0" applyFont="1" applyFill="1" applyBorder="1" applyAlignment="1">
      <alignment horizontal="right" vertical="center"/>
    </xf>
    <xf numFmtId="0" fontId="26" fillId="0" borderId="19" xfId="0" applyFont="1" applyBorder="1" applyAlignment="1">
      <alignment horizontal="right" vertical="center"/>
    </xf>
    <xf numFmtId="4" fontId="31" fillId="21" borderId="12" xfId="0" applyNumberFormat="1" applyFont="1" applyFill="1" applyBorder="1">
      <alignment vertical="center"/>
    </xf>
    <xf numFmtId="4" fontId="26" fillId="0" borderId="14" xfId="0" applyNumberFormat="1" applyFont="1" applyBorder="1">
      <alignment vertical="center"/>
    </xf>
    <xf numFmtId="4" fontId="31" fillId="21" borderId="13" xfId="0" applyNumberFormat="1" applyFont="1" applyFill="1" applyBorder="1">
      <alignment vertical="center"/>
    </xf>
    <xf numFmtId="4" fontId="27" fillId="0" borderId="14" xfId="0" applyNumberFormat="1" applyFont="1" applyBorder="1">
      <alignment vertical="center"/>
    </xf>
    <xf numFmtId="4" fontId="34" fillId="21" borderId="13" xfId="0" applyNumberFormat="1" applyFont="1" applyFill="1" applyBorder="1">
      <alignment vertical="center"/>
    </xf>
    <xf numFmtId="4" fontId="27" fillId="0" borderId="15" xfId="0" applyNumberFormat="1" applyFont="1" applyBorder="1">
      <alignment vertical="center"/>
    </xf>
    <xf numFmtId="4" fontId="34" fillId="17" borderId="0" xfId="0" applyNumberFormat="1" applyFont="1" applyFill="1" applyBorder="1">
      <alignment vertical="center"/>
    </xf>
    <xf numFmtId="4" fontId="27" fillId="17" borderId="19" xfId="0" applyNumberFormat="1" applyFont="1" applyFill="1" applyBorder="1">
      <alignment vertical="center"/>
    </xf>
    <xf numFmtId="4" fontId="26" fillId="0" borderId="0" xfId="0" applyNumberFormat="1" applyFont="1" applyBorder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28"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/>
      </font>
      <fill>
        <patternFill patternType="solid">
          <bgColor theme="4" tint="0.59996337778862885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mruColors>
      <color rgb="FFE0C1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E6C87A70-6B00-4235-85AE-EA635DA3B105}" autoFormatId="16" applyNumberFormats="0" applyBorderFormats="0" applyFontFormats="0" applyPatternFormats="0" applyAlignmentFormats="0" applyWidthHeightFormats="0">
  <queryTableRefresh nextId="9">
    <queryTableFields count="8">
      <queryTableField id="1" name="item_id" tableColumnId="1"/>
      <queryTableField id="2" name="buyPrice" tableColumnId="2"/>
      <queryTableField id="3" name="sellPrice" tableColumnId="3"/>
      <queryTableField id="4" name="buyVolume" tableColumnId="4"/>
      <queryTableField id="5" name="sellVolume" tableColumnId="5"/>
      <queryTableField id="6" name="buyMovingWeek" tableColumnId="6"/>
      <queryTableField id="7" name="sellMovingWeek" tableColumnId="7"/>
      <queryTableField id="8" name="APITime" tableColumnId="8"/>
    </queryTableFields>
  </queryTableRefresh>
  <extLst>
    <ext xmlns:x15="http://schemas.microsoft.com/office/spreadsheetml/2010/11/main" uri="{883FBD77-0823-4a55-B5E3-86C4891E6966}">
      <x15:queryTable sourceDataName="查询 - Swagger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F90DCA-1692-404A-A330-2584DD744B4E}" name="Swagger__2" displayName="Swagger__2" ref="A1:H63" tableType="queryTable" totalsRowShown="0">
  <autoFilter ref="A1:H63" xr:uid="{64F90DCA-1692-404A-A330-2584DD744B4E}"/>
  <sortState xmlns:xlrd2="http://schemas.microsoft.com/office/spreadsheetml/2017/richdata2" ref="A2:H63">
    <sortCondition ref="A1:A63"/>
  </sortState>
  <tableColumns count="8">
    <tableColumn id="1" xr3:uid="{2212CEE3-C0EB-43BC-93BB-4DD4B7136F0D}" uniqueName="1" name="item_id" queryTableFieldId="1" dataDxfId="7"/>
    <tableColumn id="2" xr3:uid="{C75B59C5-B044-453E-97C9-DFED47512163}" uniqueName="2" name="buyPrice" queryTableFieldId="2" dataDxfId="6"/>
    <tableColumn id="3" xr3:uid="{D0827E34-4DFF-4EEF-9938-70E5C4279992}" uniqueName="3" name="sellPrice" queryTableFieldId="3" dataDxfId="5"/>
    <tableColumn id="4" xr3:uid="{1DD73219-DC22-4BE5-95D5-0A444F4B8684}" uniqueName="4" name="buyVolume" queryTableFieldId="4" dataDxfId="4"/>
    <tableColumn id="5" xr3:uid="{D3244F51-9C7D-4CCD-8220-9367ED8E1303}" uniqueName="5" name="sellVolume" queryTableFieldId="5" dataDxfId="3"/>
    <tableColumn id="6" xr3:uid="{46D15F3E-4703-4201-808C-EA092B0CB4AC}" uniqueName="6" name="buyMovingWeek" queryTableFieldId="6" dataDxfId="2"/>
    <tableColumn id="7" xr3:uid="{CCE32A7A-FF9E-496A-8CC8-A5819FE40720}" uniqueName="7" name="sellMovingWeek" queryTableFieldId="7" dataDxfId="1"/>
    <tableColumn id="8" xr3:uid="{D47A8F1B-E171-4859-AF8E-04DF5FC657CC}" uniqueName="8" name="APITime" queryTableFieldId="8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7DD3-2D3E-4407-8222-B7FCD682D63B}">
  <dimension ref="A1:U38"/>
  <sheetViews>
    <sheetView tabSelected="1" zoomScale="85" zoomScaleNormal="85" workbookViewId="0">
      <pane xSplit="4" ySplit="2" topLeftCell="M18" activePane="bottomRight" state="frozen"/>
      <selection pane="topRight" activeCell="D1" sqref="D1"/>
      <selection pane="bottomLeft" activeCell="A3" sqref="A3"/>
      <selection pane="bottomRight" activeCell="B2" sqref="B2"/>
    </sheetView>
  </sheetViews>
  <sheetFormatPr defaultColWidth="18.5" defaultRowHeight="13.5" x14ac:dyDescent="0.15"/>
  <cols>
    <col min="1" max="1" width="9.5" style="95" bestFit="1" customWidth="1"/>
    <col min="2" max="2" width="7.125" style="95" bestFit="1" customWidth="1"/>
    <col min="3" max="3" width="11.625" style="95" bestFit="1" customWidth="1"/>
    <col min="4" max="4" width="3.375" style="95" bestFit="1" customWidth="1"/>
    <col min="5" max="5" width="11.625" style="95" bestFit="1" customWidth="1"/>
    <col min="6" max="7" width="11.25" style="95" bestFit="1" customWidth="1"/>
    <col min="8" max="8" width="13.875" style="95" bestFit="1" customWidth="1"/>
    <col min="9" max="9" width="14" style="95" bestFit="1" customWidth="1"/>
    <col min="10" max="11" width="17.75" style="95" bestFit="1" customWidth="1"/>
    <col min="12" max="12" width="15" style="95" bestFit="1" customWidth="1"/>
    <col min="13" max="13" width="17.75" style="95" bestFit="1" customWidth="1"/>
    <col min="14" max="14" width="18.25" style="95" bestFit="1" customWidth="1"/>
    <col min="15" max="15" width="17" style="96" bestFit="1" customWidth="1"/>
    <col min="16" max="16" width="16.5" style="95" bestFit="1" customWidth="1"/>
    <col min="17" max="17" width="12.75" style="95" bestFit="1" customWidth="1"/>
    <col min="18" max="18" width="16.125" style="95" bestFit="1" customWidth="1"/>
    <col min="19" max="19" width="15" style="95" bestFit="1" customWidth="1"/>
    <col min="20" max="20" width="16.125" style="95" bestFit="1" customWidth="1"/>
    <col min="21" max="21" width="15" style="95" bestFit="1" customWidth="1"/>
    <col min="22" max="16384" width="18.5" style="95"/>
  </cols>
  <sheetData>
    <row r="1" spans="1:21" ht="14.25" thickBot="1" x14ac:dyDescent="0.2">
      <c r="A1" s="222" t="s">
        <v>138</v>
      </c>
      <c r="B1" s="222">
        <v>1</v>
      </c>
      <c r="C1" s="222"/>
      <c r="D1" s="222"/>
      <c r="E1" s="222" t="s">
        <v>160</v>
      </c>
      <c r="F1" s="303">
        <v>0.01</v>
      </c>
      <c r="G1" s="222"/>
      <c r="H1" s="222"/>
      <c r="I1" s="222"/>
      <c r="J1" s="222"/>
      <c r="K1" s="222"/>
      <c r="L1" s="222"/>
      <c r="M1" s="222"/>
      <c r="N1" s="222"/>
      <c r="O1" s="223"/>
      <c r="P1" s="222"/>
      <c r="Q1" s="222"/>
      <c r="R1" s="222"/>
      <c r="S1" s="222"/>
      <c r="T1" s="222"/>
      <c r="U1" s="222"/>
    </row>
    <row r="2" spans="1:21" s="97" customFormat="1" ht="28.5" customHeight="1" thickBot="1" x14ac:dyDescent="0.2">
      <c r="A2" s="104" t="s">
        <v>130</v>
      </c>
      <c r="B2" s="105" t="s">
        <v>148</v>
      </c>
      <c r="C2" s="105"/>
      <c r="D2" s="109"/>
      <c r="E2" s="109" t="s">
        <v>143</v>
      </c>
      <c r="F2" s="105" t="s">
        <v>140</v>
      </c>
      <c r="G2" s="105" t="s">
        <v>153</v>
      </c>
      <c r="H2" s="114" t="s">
        <v>2</v>
      </c>
      <c r="I2" s="115" t="s">
        <v>163</v>
      </c>
      <c r="J2" s="107" t="s">
        <v>134</v>
      </c>
      <c r="K2" s="108" t="s">
        <v>135</v>
      </c>
      <c r="L2" s="109" t="s">
        <v>141</v>
      </c>
      <c r="M2" s="110" t="s">
        <v>136</v>
      </c>
      <c r="N2" s="111" t="s">
        <v>137</v>
      </c>
      <c r="O2" s="112" t="s">
        <v>154</v>
      </c>
      <c r="P2" s="106" t="s">
        <v>161</v>
      </c>
      <c r="Q2" s="113" t="s">
        <v>139</v>
      </c>
      <c r="R2" s="106" t="s">
        <v>149</v>
      </c>
      <c r="S2" s="106" t="s">
        <v>150</v>
      </c>
      <c r="T2" s="106" t="s">
        <v>155</v>
      </c>
      <c r="U2" s="109" t="s">
        <v>142</v>
      </c>
    </row>
    <row r="3" spans="1:21" x14ac:dyDescent="0.15">
      <c r="A3" s="224" t="s">
        <v>132</v>
      </c>
      <c r="B3" s="222">
        <v>5</v>
      </c>
      <c r="C3" s="225" t="s">
        <v>34</v>
      </c>
      <c r="D3" s="226" t="s">
        <v>35</v>
      </c>
      <c r="E3" s="134">
        <v>0</v>
      </c>
      <c r="F3" s="168">
        <v>6400</v>
      </c>
      <c r="G3" s="168">
        <v>240</v>
      </c>
      <c r="H3" s="169">
        <f>LOOKUP(2,1/(ResolveSwagger!$A:$A=$A3)/(ResolveSwagger!$C:$C=$C3),(ResolveSwagger!F:F))</f>
        <v>424.49988891550998</v>
      </c>
      <c r="I3" s="170">
        <f>LOOKUP(2,1/(ResolveSwagger!$A:$A=$A3)/(ResolveSwagger!$C:$C=$C3),(ResolveSwagger!G:G))</f>
        <v>298.79498952938599</v>
      </c>
      <c r="J3" s="227">
        <f>H3*5*$B$1*$F3+$E3*$B$1</f>
        <v>13583996.445296321</v>
      </c>
      <c r="K3" s="229">
        <f>I3*5*$B$1*$F3+$E3*$B$1</f>
        <v>9561439.6649403516</v>
      </c>
      <c r="L3" s="170">
        <f>J3-K3</f>
        <v>4022556.7803559694</v>
      </c>
      <c r="M3" s="227">
        <f>LOOKUP(2,1/(ResolveSwagger!$A:$A="PERFECT")/(ResolveSwagger!$C:$C=$C3),(ResolveSwagger!F:F))*$B$1</f>
        <v>15151234.541333299</v>
      </c>
      <c r="N3" s="228">
        <f>LOOKUP(2,1/(ResolveSwagger!$A:$A="PERFECT")/(ResolveSwagger!$C:$C=$C3),(ResolveSwagger!G:G))*$B$1</f>
        <v>14099510.648148101</v>
      </c>
      <c r="O3" s="230">
        <f>M3-K3</f>
        <v>5589794.8763929475</v>
      </c>
      <c r="P3" s="102">
        <f>O3/J3</f>
        <v>0.41149855264637564</v>
      </c>
      <c r="Q3" s="231">
        <f>O3/K3</f>
        <v>0.58461853782223483</v>
      </c>
      <c r="R3" s="100">
        <f>M3-J3</f>
        <v>1567238.0960369781</v>
      </c>
      <c r="S3" s="100">
        <f>N3-K3</f>
        <v>4538070.9832077492</v>
      </c>
      <c r="T3" s="100">
        <f>N3-J3</f>
        <v>515514.20285177976</v>
      </c>
      <c r="U3" s="98">
        <f>_xlfn.STDEV.P(O3,R3,S3,T3)</f>
        <v>2078887.0940171578</v>
      </c>
    </row>
    <row r="4" spans="1:21" x14ac:dyDescent="0.15">
      <c r="A4" s="224" t="s">
        <v>132</v>
      </c>
      <c r="B4" s="249">
        <v>5</v>
      </c>
      <c r="C4" s="250" t="s">
        <v>1</v>
      </c>
      <c r="D4" s="245" t="s">
        <v>23</v>
      </c>
      <c r="E4" s="206">
        <v>0</v>
      </c>
      <c r="F4" s="207">
        <v>6400</v>
      </c>
      <c r="G4" s="207">
        <v>240</v>
      </c>
      <c r="H4" s="208">
        <f>LOOKUP(2,1/(ResolveSwagger!$A:$A=$A4)/(ResolveSwagger!$C:$C=$C4),(ResolveSwagger!F:F))</f>
        <v>804.69976359338102</v>
      </c>
      <c r="I4" s="209">
        <f>LOOKUP(2,1/(ResolveSwagger!$A:$A=$A4)/(ResolveSwagger!$C:$C=$C4),(ResolveSwagger!G:G))</f>
        <v>333.78946672351202</v>
      </c>
      <c r="J4" s="251">
        <f>H4*5*$B$1*$F4+$E4*$B$1</f>
        <v>25750392.434988193</v>
      </c>
      <c r="K4" s="253">
        <f>I4*5*$B$1*$F4+$E4*$B$1</f>
        <v>10681262.935152385</v>
      </c>
      <c r="L4" s="209">
        <f>J4-K4</f>
        <v>15069129.499835808</v>
      </c>
      <c r="M4" s="251">
        <f>LOOKUP(2,1/(ResolveSwagger!$A:$A="PERFECT")/(ResolveSwagger!$C:$C=$C4),(ResolveSwagger!F:F))*$B$1</f>
        <v>16144143</v>
      </c>
      <c r="N4" s="252">
        <f>LOOKUP(2,1/(ResolveSwagger!$A:$A="PERFECT")/(ResolveSwagger!$C:$C=$C4),(ResolveSwagger!G:G))*$B$1</f>
        <v>14458824.1133333</v>
      </c>
      <c r="O4" s="254">
        <f>M4-K4</f>
        <v>5462880.0648476146</v>
      </c>
      <c r="P4" s="102">
        <f>O4/J4</f>
        <v>0.21214744896178586</v>
      </c>
      <c r="Q4" s="231">
        <f>O4/K4</f>
        <v>0.51144514445656963</v>
      </c>
      <c r="R4" s="100">
        <f>M4-J4</f>
        <v>-9606249.4349881932</v>
      </c>
      <c r="S4" s="100">
        <f>N4-K4</f>
        <v>3777561.1781809144</v>
      </c>
      <c r="T4" s="100">
        <f>N4-J4</f>
        <v>-11291568.321654893</v>
      </c>
      <c r="U4" s="98">
        <f>_xlfn.STDEV.P(O4,R4,S4,T4)</f>
        <v>7581539.4814077392</v>
      </c>
    </row>
    <row r="5" spans="1:21" x14ac:dyDescent="0.15">
      <c r="A5" s="224" t="s">
        <v>133</v>
      </c>
      <c r="B5" s="233">
        <v>5</v>
      </c>
      <c r="C5" s="234" t="s">
        <v>34</v>
      </c>
      <c r="D5" s="226" t="s">
        <v>35</v>
      </c>
      <c r="E5" s="191">
        <v>0</v>
      </c>
      <c r="F5" s="192">
        <v>80</v>
      </c>
      <c r="G5" s="192">
        <v>19200</v>
      </c>
      <c r="H5" s="193">
        <f>LOOKUP(2,1/(ResolveSwagger!$A:$A=$A5)/(ResolveSwagger!$C:$C=$C5),(ResolveSwagger!F:F))</f>
        <v>29404.370009372102</v>
      </c>
      <c r="I5" s="194">
        <f>LOOKUP(2,1/(ResolveSwagger!$A:$A=$A5)/(ResolveSwagger!$C:$C=$C5),(ResolveSwagger!G:G))</f>
        <v>26446.101327643399</v>
      </c>
      <c r="J5" s="235">
        <f>H5*5*$B$1*$F5+$E5*$B$1</f>
        <v>11761748.003748842</v>
      </c>
      <c r="K5" s="237">
        <f>I5*5*$B$1*$F5+$E5*$B$1</f>
        <v>10578440.53105736</v>
      </c>
      <c r="L5" s="194">
        <f>J5-K5</f>
        <v>1183307.4726914819</v>
      </c>
      <c r="M5" s="235">
        <f>LOOKUP(2,1/(ResolveSwagger!$A:$A="PERFECT")/(ResolveSwagger!$C:$C=$C5),(ResolveSwagger!F:F))*$B$1</f>
        <v>15151234.541333299</v>
      </c>
      <c r="N5" s="236">
        <f>LOOKUP(2,1/(ResolveSwagger!$A:$A="PERFECT")/(ResolveSwagger!$C:$C=$C5),(ResolveSwagger!G:G))*$B$1</f>
        <v>14099510.648148101</v>
      </c>
      <c r="O5" s="238">
        <f>M5-K5</f>
        <v>4572794.0102759395</v>
      </c>
      <c r="P5" s="102">
        <f>O5/J5</f>
        <v>0.388785239134391</v>
      </c>
      <c r="Q5" s="231">
        <f>O5/K5</f>
        <v>0.43227487046418833</v>
      </c>
      <c r="R5" s="100">
        <f>M5-J5</f>
        <v>3389486.5375844575</v>
      </c>
      <c r="S5" s="100">
        <f>N5-K5</f>
        <v>3521070.1170907412</v>
      </c>
      <c r="T5" s="100">
        <f>N5-J5</f>
        <v>2337762.6443992592</v>
      </c>
      <c r="U5" s="98">
        <f>_xlfn.STDEV.P(O5,R5,S5,T5)</f>
        <v>791571.17848367442</v>
      </c>
    </row>
    <row r="6" spans="1:21" x14ac:dyDescent="0.15">
      <c r="A6" s="224" t="s">
        <v>131</v>
      </c>
      <c r="B6" s="239">
        <v>5</v>
      </c>
      <c r="C6" s="255" t="s">
        <v>1</v>
      </c>
      <c r="D6" s="245" t="s">
        <v>23</v>
      </c>
      <c r="E6" s="175">
        <v>0</v>
      </c>
      <c r="F6" s="176">
        <v>1</v>
      </c>
      <c r="G6" s="176"/>
      <c r="H6" s="177">
        <f>LOOKUP(2,1/(ResolveSwagger!$A:$A=$A6)/(ResolveSwagger!$C:$C=$C6),(ResolveSwagger!F:F))</f>
        <v>2468588.7999999998</v>
      </c>
      <c r="I6" s="178">
        <f>LOOKUP(2,1/(ResolveSwagger!$A:$A=$A6)/(ResolveSwagger!$C:$C=$C6),(ResolveSwagger!G:G))</f>
        <v>2265555.0222857101</v>
      </c>
      <c r="J6" s="256">
        <f>H6*5*$B$1*$F6+$E6*$B$1</f>
        <v>12342944</v>
      </c>
      <c r="K6" s="258">
        <f>I6*5*$B$1*$F6+$E6*$B$1</f>
        <v>11327775.111428551</v>
      </c>
      <c r="L6" s="178">
        <f>J6-K6</f>
        <v>1015168.8885714486</v>
      </c>
      <c r="M6" s="256">
        <f>LOOKUP(2,1/(ResolveSwagger!$A:$A="PERFECT")/(ResolveSwagger!$C:$C=$C6),(ResolveSwagger!F:F))*$B$1</f>
        <v>16144143</v>
      </c>
      <c r="N6" s="257">
        <f>LOOKUP(2,1/(ResolveSwagger!$A:$A="PERFECT")/(ResolveSwagger!$C:$C=$C6),(ResolveSwagger!G:G))*$B$1</f>
        <v>14458824.1133333</v>
      </c>
      <c r="O6" s="244">
        <f>M6-K6</f>
        <v>4816367.8885714486</v>
      </c>
      <c r="P6" s="102">
        <f>O6/J6</f>
        <v>0.39021224503420321</v>
      </c>
      <c r="Q6" s="231">
        <f>O6/K6</f>
        <v>0.42518215988523927</v>
      </c>
      <c r="R6" s="100">
        <f>M6-J6</f>
        <v>3801199</v>
      </c>
      <c r="S6" s="100">
        <f>N6-K6</f>
        <v>3131049.0019047484</v>
      </c>
      <c r="T6" s="100">
        <f>N6-J6</f>
        <v>2115880.1133332998</v>
      </c>
      <c r="U6" s="98">
        <f>_xlfn.STDEV.P(O6,R6,S6,T6)</f>
        <v>983726.03173836914</v>
      </c>
    </row>
    <row r="7" spans="1:21" x14ac:dyDescent="0.15">
      <c r="A7" s="224" t="s">
        <v>133</v>
      </c>
      <c r="B7" s="233">
        <v>5</v>
      </c>
      <c r="C7" s="468" t="s">
        <v>1</v>
      </c>
      <c r="D7" s="245" t="s">
        <v>23</v>
      </c>
      <c r="E7" s="195">
        <v>0</v>
      </c>
      <c r="F7" s="469">
        <v>80</v>
      </c>
      <c r="G7" s="469">
        <v>19200</v>
      </c>
      <c r="H7" s="196">
        <f>LOOKUP(2,1/(ResolveSwagger!$A:$A=$A7)/(ResolveSwagger!$C:$C=$C7),(ResolveSwagger!F:F))</f>
        <v>30607.4498693276</v>
      </c>
      <c r="I7" s="197">
        <f>LOOKUP(2,1/(ResolveSwagger!$A:$A=$A7)/(ResolveSwagger!$C:$C=$C7),(ResolveSwagger!G:G))</f>
        <v>29500.068856383001</v>
      </c>
      <c r="J7" s="246">
        <f>H7*5*$B$1*$F7+$E7*$B$1</f>
        <v>12242979.94773104</v>
      </c>
      <c r="K7" s="248">
        <f>I7*5*$B$1*$F7+$E7*$B$1</f>
        <v>11800027.542553199</v>
      </c>
      <c r="L7" s="197">
        <f>J7-K7</f>
        <v>442952.40517784096</v>
      </c>
      <c r="M7" s="246">
        <f>LOOKUP(2,1/(ResolveSwagger!$A:$A="PERFECT")/(ResolveSwagger!$C:$C=$C7),(ResolveSwagger!F:F))*$B$1</f>
        <v>16144143</v>
      </c>
      <c r="N7" s="247">
        <f>LOOKUP(2,1/(ResolveSwagger!$A:$A="PERFECT")/(ResolveSwagger!$C:$C=$C7),(ResolveSwagger!G:G))*$B$1</f>
        <v>14458824.1133333</v>
      </c>
      <c r="O7" s="238">
        <f>M7-K7</f>
        <v>4344115.4574468005</v>
      </c>
      <c r="P7" s="102">
        <f>O7/J7</f>
        <v>0.35482500796318661</v>
      </c>
      <c r="Q7" s="231">
        <f>O7/K7</f>
        <v>0.36814451845820473</v>
      </c>
      <c r="R7" s="100">
        <f>M7-J7</f>
        <v>3901163.0522689596</v>
      </c>
      <c r="S7" s="100">
        <f>N7-K7</f>
        <v>2658796.5707801003</v>
      </c>
      <c r="T7" s="100">
        <f>N7-J7</f>
        <v>2215844.1656022593</v>
      </c>
      <c r="U7" s="98">
        <f>_xlfn.STDEV.P(O7,R7,S7,T7)</f>
        <v>871278.74170788773</v>
      </c>
    </row>
    <row r="8" spans="1:21" x14ac:dyDescent="0.15">
      <c r="A8" s="224" t="s">
        <v>131</v>
      </c>
      <c r="B8" s="239">
        <v>5</v>
      </c>
      <c r="C8" s="240" t="s">
        <v>34</v>
      </c>
      <c r="D8" s="226" t="s">
        <v>35</v>
      </c>
      <c r="E8" s="171">
        <v>0</v>
      </c>
      <c r="F8" s="172">
        <v>1</v>
      </c>
      <c r="G8" s="172"/>
      <c r="H8" s="173">
        <f>LOOKUP(2,1/(ResolveSwagger!$A:$A=$A8)/(ResolveSwagger!$C:$C=$C8),(ResolveSwagger!F:F))</f>
        <v>2331259.5375000001</v>
      </c>
      <c r="I8" s="174">
        <f>LOOKUP(2,1/(ResolveSwagger!$A:$A=$A8)/(ResolveSwagger!$C:$C=$C8),(ResolveSwagger!G:G))</f>
        <v>2220713.2238853499</v>
      </c>
      <c r="J8" s="241">
        <f>H8*5*$B$1*$F8+$E8*$B$1</f>
        <v>11656297.6875</v>
      </c>
      <c r="K8" s="243">
        <f>I8*5*$B$1*$F8+$E8*$B$1</f>
        <v>11103566.11942675</v>
      </c>
      <c r="L8" s="174">
        <f>J8-K8</f>
        <v>552731.56807325035</v>
      </c>
      <c r="M8" s="241">
        <f>LOOKUP(2,1/(ResolveSwagger!$A:$A="PERFECT")/(ResolveSwagger!$C:$C=$C8),(ResolveSwagger!F:F))*$B$1</f>
        <v>15151234.541333299</v>
      </c>
      <c r="N8" s="242">
        <f>LOOKUP(2,1/(ResolveSwagger!$A:$A="PERFECT")/(ResolveSwagger!$C:$C=$C8),(ResolveSwagger!G:G))*$B$1</f>
        <v>14099510.648148101</v>
      </c>
      <c r="O8" s="244">
        <f>M8-K8</f>
        <v>4047668.4219065495</v>
      </c>
      <c r="P8" s="102">
        <f>O8/J8</f>
        <v>0.347251634302991</v>
      </c>
      <c r="Q8" s="231">
        <f>O8/K8</f>
        <v>0.36453769702192945</v>
      </c>
      <c r="R8" s="100">
        <f>M8-J8</f>
        <v>3494936.8538332991</v>
      </c>
      <c r="S8" s="100">
        <f>N8-K8</f>
        <v>2995944.5287213512</v>
      </c>
      <c r="T8" s="100">
        <f>N8-J8</f>
        <v>2443212.9606481008</v>
      </c>
      <c r="U8" s="98">
        <f>_xlfn.STDEV.P(O8,R8,S8,T8)</f>
        <v>594061.30446304614</v>
      </c>
    </row>
    <row r="9" spans="1:21" x14ac:dyDescent="0.15">
      <c r="A9" s="224" t="s">
        <v>131</v>
      </c>
      <c r="B9" s="239">
        <v>3</v>
      </c>
      <c r="C9" s="268" t="s">
        <v>25</v>
      </c>
      <c r="D9" s="260" t="s">
        <v>26</v>
      </c>
      <c r="E9" s="179">
        <f>VLOOKUP("PRECURSOR_APPARATUS",ResolveSwagger!A:N,14,FALSE)</f>
        <v>925067.0503010425</v>
      </c>
      <c r="F9" s="180">
        <v>1</v>
      </c>
      <c r="G9" s="180"/>
      <c r="H9" s="181">
        <f>LOOKUP(2,1/(ResolveSwagger!$A:$A=$A9)/(ResolveSwagger!$C:$C=$C9),(ResolveSwagger!F:F))</f>
        <v>2399993.6764044901</v>
      </c>
      <c r="I9" s="182">
        <f>LOOKUP(2,1/(ResolveSwagger!$A:$A=$A9)/(ResolveSwagger!$C:$C=$C9),(ResolveSwagger!G:G))</f>
        <v>2058311.30647482</v>
      </c>
      <c r="J9" s="269">
        <f>H9*5*$B$1*$F9+$E9*$B$1</f>
        <v>12925035.432323495</v>
      </c>
      <c r="K9" s="271">
        <f>I9*5*$B$1*$F9+$E9*$B$1</f>
        <v>11216623.582675144</v>
      </c>
      <c r="L9" s="182">
        <f>J9-K9</f>
        <v>1708411.8496483508</v>
      </c>
      <c r="M9" s="269">
        <f>LOOKUP(2,1/(ResolveSwagger!$A:$A="PERFECT")/(ResolveSwagger!$C:$C=$C9),(ResolveSwagger!F:F))*$B$1</f>
        <v>15657513.2789474</v>
      </c>
      <c r="N9" s="270">
        <f>LOOKUP(2,1/(ResolveSwagger!$A:$A="PERFECT")/(ResolveSwagger!$C:$C=$C9),(ResolveSwagger!G:G))*$B$1</f>
        <v>14736247.316</v>
      </c>
      <c r="O9" s="244">
        <f>M9-K9</f>
        <v>4440889.6962722559</v>
      </c>
      <c r="P9" s="102">
        <f>O9/J9</f>
        <v>0.34358820287380293</v>
      </c>
      <c r="Q9" s="231">
        <f>O9/K9</f>
        <v>0.39592036440729983</v>
      </c>
      <c r="R9" s="100">
        <f>M9-J9</f>
        <v>2732477.846623905</v>
      </c>
      <c r="S9" s="100">
        <f>N9-K9</f>
        <v>3519623.7333248556</v>
      </c>
      <c r="T9" s="100">
        <f>N9-J9</f>
        <v>1811211.8836765047</v>
      </c>
      <c r="U9" s="98">
        <f>_xlfn.STDEV.P(O9,R9,S9,T9)</f>
        <v>970489.82767779392</v>
      </c>
    </row>
    <row r="10" spans="1:21" x14ac:dyDescent="0.15">
      <c r="A10" s="224" t="s">
        <v>132</v>
      </c>
      <c r="B10" s="249">
        <v>3</v>
      </c>
      <c r="C10" s="259" t="s">
        <v>25</v>
      </c>
      <c r="D10" s="260" t="s">
        <v>26</v>
      </c>
      <c r="E10" s="210">
        <f>VLOOKUP("PRECURSOR_APPARATUS",ResolveSwagger!A:N,14,FALSE)</f>
        <v>925067.0503010425</v>
      </c>
      <c r="F10" s="211">
        <v>6400</v>
      </c>
      <c r="G10" s="211">
        <v>240</v>
      </c>
      <c r="H10" s="212">
        <f>LOOKUP(2,1/(ResolveSwagger!$A:$A=$A10)/(ResolveSwagger!$C:$C=$C10),(ResolveSwagger!F:F))</f>
        <v>409.04907565011803</v>
      </c>
      <c r="I10" s="213">
        <f>LOOKUP(2,1/(ResolveSwagger!$A:$A=$A10)/(ResolveSwagger!$C:$C=$C10),(ResolveSwagger!G:G))</f>
        <v>345.47113023945502</v>
      </c>
      <c r="J10" s="261">
        <f>H10*5*$B$1*$F10+$E10*$B$1</f>
        <v>14014637.471104821</v>
      </c>
      <c r="K10" s="263">
        <f>I10*5*$B$1*$F10+$E10*$B$1</f>
        <v>11980143.217963604</v>
      </c>
      <c r="L10" s="213">
        <f>J10-K10</f>
        <v>2034494.2531412169</v>
      </c>
      <c r="M10" s="261">
        <f>LOOKUP(2,1/(ResolveSwagger!$A:$A="PERFECT")/(ResolveSwagger!$C:$C=$C10),(ResolveSwagger!F:F))*$B$1</f>
        <v>15657513.2789474</v>
      </c>
      <c r="N10" s="262">
        <f>LOOKUP(2,1/(ResolveSwagger!$A:$A="PERFECT")/(ResolveSwagger!$C:$C=$C10),(ResolveSwagger!G:G))*$B$1</f>
        <v>14736247.316</v>
      </c>
      <c r="O10" s="254">
        <f>M10-K10</f>
        <v>3677370.0609837957</v>
      </c>
      <c r="P10" s="102">
        <f>O10/J10</f>
        <v>0.26239494732316443</v>
      </c>
      <c r="Q10" s="231">
        <f>O10/K10</f>
        <v>0.30695543401098657</v>
      </c>
      <c r="R10" s="100">
        <f>M10-J10</f>
        <v>1642875.8078425787</v>
      </c>
      <c r="S10" s="100">
        <f>N10-K10</f>
        <v>2756104.0980363954</v>
      </c>
      <c r="T10" s="100">
        <f>N10-J10</f>
        <v>721609.84489517845</v>
      </c>
      <c r="U10" s="98">
        <f>_xlfn.STDEV.P(O10,R10,S10,T10)</f>
        <v>1116680.1064483551</v>
      </c>
    </row>
    <row r="11" spans="1:21" x14ac:dyDescent="0.15">
      <c r="A11" s="224" t="s">
        <v>133</v>
      </c>
      <c r="B11" s="233">
        <v>3</v>
      </c>
      <c r="C11" s="264" t="s">
        <v>25</v>
      </c>
      <c r="D11" s="260" t="s">
        <v>26</v>
      </c>
      <c r="E11" s="198">
        <f>VLOOKUP("PRECURSOR_APPARATUS",ResolveSwagger!A:N,14,FALSE)</f>
        <v>925067.0503010425</v>
      </c>
      <c r="F11" s="199">
        <v>80</v>
      </c>
      <c r="G11" s="199">
        <v>19200</v>
      </c>
      <c r="H11" s="200">
        <f>LOOKUP(2,1/(ResolveSwagger!$A:$A=$A11)/(ResolveSwagger!$C:$C=$C11),(ResolveSwagger!F:F))</f>
        <v>29134.107597788199</v>
      </c>
      <c r="I11" s="201">
        <f>LOOKUP(2,1/(ResolveSwagger!$A:$A=$A11)/(ResolveSwagger!$C:$C=$C11),(ResolveSwagger!G:G))</f>
        <v>27725.148468185402</v>
      </c>
      <c r="J11" s="265">
        <f>H11*5*$B$1*$F11+$E11*$B$1</f>
        <v>12578710.089416323</v>
      </c>
      <c r="K11" s="267">
        <f>I11*5*$B$1*$F11+$E11*$B$1</f>
        <v>12015126.437575204</v>
      </c>
      <c r="L11" s="201">
        <f>J11-K11</f>
        <v>563583.65184111893</v>
      </c>
      <c r="M11" s="265">
        <f>LOOKUP(2,1/(ResolveSwagger!$A:$A="PERFECT")/(ResolveSwagger!$C:$C=$C11),(ResolveSwagger!F:F))*$B$1</f>
        <v>15657513.2789474</v>
      </c>
      <c r="N11" s="266">
        <f>LOOKUP(2,1/(ResolveSwagger!$A:$A="PERFECT")/(ResolveSwagger!$C:$C=$C11),(ResolveSwagger!G:G))*$B$1</f>
        <v>14736247.316</v>
      </c>
      <c r="O11" s="238">
        <f>M11-K11</f>
        <v>3642386.8413721956</v>
      </c>
      <c r="P11" s="102">
        <f>O11/J11</f>
        <v>0.28956759599991777</v>
      </c>
      <c r="Q11" s="231">
        <f>O11/K11</f>
        <v>0.30315010501939194</v>
      </c>
      <c r="R11" s="100">
        <f>M11-J11</f>
        <v>3078803.1895310767</v>
      </c>
      <c r="S11" s="100">
        <f>N11-K11</f>
        <v>2721120.8784247953</v>
      </c>
      <c r="T11" s="100">
        <f>N11-J11</f>
        <v>2157537.2265836764</v>
      </c>
      <c r="U11" s="98">
        <f>_xlfn.STDEV.P(O11,R11,S11,T11)</f>
        <v>539990.16359281319</v>
      </c>
    </row>
    <row r="12" spans="1:21" x14ac:dyDescent="0.15">
      <c r="A12" s="224" t="s">
        <v>131</v>
      </c>
      <c r="B12" s="239">
        <v>2</v>
      </c>
      <c r="C12" s="277" t="s">
        <v>40</v>
      </c>
      <c r="D12" s="273" t="s">
        <v>29</v>
      </c>
      <c r="E12" s="183">
        <v>0</v>
      </c>
      <c r="F12" s="184">
        <v>1</v>
      </c>
      <c r="G12" s="184"/>
      <c r="H12" s="185">
        <f>LOOKUP(2,1/(ResolveSwagger!$A:$A=$A12)/(ResolveSwagger!$C:$C=$C12),(ResolveSwagger!F:F))</f>
        <v>2371617.4712765999</v>
      </c>
      <c r="I12" s="186">
        <f>LOOKUP(2,1/(ResolveSwagger!$A:$A=$A12)/(ResolveSwagger!$C:$C=$C12),(ResolveSwagger!G:G))</f>
        <v>1131396.5225</v>
      </c>
      <c r="J12" s="278">
        <f>H12*5*$B$1*$F12+$E12*$B$1</f>
        <v>11858087.356383</v>
      </c>
      <c r="K12" s="280">
        <f>I12*5*$B$1*$F12+$E12*$B$1</f>
        <v>5656982.6124999998</v>
      </c>
      <c r="L12" s="186">
        <f>J12-K12</f>
        <v>6201104.7438829998</v>
      </c>
      <c r="M12" s="278">
        <f>LOOKUP(2,1/(ResolveSwagger!$A:$A="PERFECT")/(ResolveSwagger!$C:$C=$C12),(ResolveSwagger!F:F))*$B$1</f>
        <v>14999998.2357143</v>
      </c>
      <c r="N12" s="279">
        <f>LOOKUP(2,1/(ResolveSwagger!$A:$A="PERFECT")/(ResolveSwagger!$C:$C=$C12),(ResolveSwagger!G:G))*$B$1</f>
        <v>14022540.9424242</v>
      </c>
      <c r="O12" s="244">
        <f>M12-K12</f>
        <v>9343015.6232143007</v>
      </c>
      <c r="P12" s="102">
        <f>O12/J12</f>
        <v>0.78790241144455053</v>
      </c>
      <c r="Q12" s="231">
        <f>O12/K12</f>
        <v>1.6515899487775385</v>
      </c>
      <c r="R12" s="100">
        <f>M12-J12</f>
        <v>3141910.8793313</v>
      </c>
      <c r="S12" s="100">
        <f>N12-K12</f>
        <v>8365558.3299242007</v>
      </c>
      <c r="T12" s="100">
        <f>N12-J12</f>
        <v>2164453.5860412009</v>
      </c>
      <c r="U12" s="98">
        <f>_xlfn.STDEV.P(O12,R12,S12,T12)</f>
        <v>3138834.29017901</v>
      </c>
    </row>
    <row r="13" spans="1:21" x14ac:dyDescent="0.15">
      <c r="A13" s="224" t="s">
        <v>133</v>
      </c>
      <c r="B13" s="233">
        <v>2</v>
      </c>
      <c r="C13" s="281" t="s">
        <v>40</v>
      </c>
      <c r="D13" s="273" t="s">
        <v>29</v>
      </c>
      <c r="E13" s="202">
        <v>0</v>
      </c>
      <c r="F13" s="203">
        <v>80</v>
      </c>
      <c r="G13" s="203">
        <v>19200</v>
      </c>
      <c r="H13" s="204">
        <f>LOOKUP(2,1/(ResolveSwagger!$A:$A=$A13)/(ResolveSwagger!$C:$C=$C13),(ResolveSwagger!F:F))</f>
        <v>29556.481941156599</v>
      </c>
      <c r="I13" s="205">
        <f>LOOKUP(2,1/(ResolveSwagger!$A:$A=$A13)/(ResolveSwagger!$C:$C=$C13),(ResolveSwagger!G:G))</f>
        <v>26248.423046488599</v>
      </c>
      <c r="J13" s="282">
        <f>H13*5*$B$1*$F13+$E13*$B$1</f>
        <v>11822592.776462641</v>
      </c>
      <c r="K13" s="284">
        <f>I13*5*$B$1*$F13+$E13*$B$1</f>
        <v>10499369.21859544</v>
      </c>
      <c r="L13" s="205">
        <f>J13-K13</f>
        <v>1323223.557867201</v>
      </c>
      <c r="M13" s="282">
        <f>LOOKUP(2,1/(ResolveSwagger!$A:$A="PERFECT")/(ResolveSwagger!$C:$C=$C13),(ResolveSwagger!F:F))*$B$1</f>
        <v>14999998.2357143</v>
      </c>
      <c r="N13" s="283">
        <f>LOOKUP(2,1/(ResolveSwagger!$A:$A="PERFECT")/(ResolveSwagger!$C:$C=$C13),(ResolveSwagger!G:G))*$B$1</f>
        <v>14022540.9424242</v>
      </c>
      <c r="O13" s="238">
        <f>M13-K13</f>
        <v>4500629.01711886</v>
      </c>
      <c r="P13" s="102">
        <f>O13/J13</f>
        <v>0.38068037208209277</v>
      </c>
      <c r="Q13" s="231">
        <f>O13/K13</f>
        <v>0.42865708628931659</v>
      </c>
      <c r="R13" s="100">
        <f>M13-J13</f>
        <v>3177405.459251659</v>
      </c>
      <c r="S13" s="100">
        <f>N13-K13</f>
        <v>3523171.7238287609</v>
      </c>
      <c r="T13" s="100">
        <f>N13-J13</f>
        <v>2199948.1659615599</v>
      </c>
      <c r="U13" s="98">
        <f>_xlfn.STDEV.P(O13,R13,S13,T13)</f>
        <v>822548.37916999485</v>
      </c>
    </row>
    <row r="14" spans="1:21" x14ac:dyDescent="0.15">
      <c r="A14" s="224" t="s">
        <v>132</v>
      </c>
      <c r="B14" s="249">
        <v>2</v>
      </c>
      <c r="C14" s="272" t="s">
        <v>40</v>
      </c>
      <c r="D14" s="273" t="s">
        <v>29</v>
      </c>
      <c r="E14" s="214">
        <v>0</v>
      </c>
      <c r="F14" s="215">
        <v>6400</v>
      </c>
      <c r="G14" s="215">
        <v>240</v>
      </c>
      <c r="H14" s="216">
        <f>LOOKUP(2,1/(ResolveSwagger!$A:$A=$A14)/(ResolveSwagger!$C:$C=$C14),(ResolveSwagger!F:F))</f>
        <v>1574.5763696128599</v>
      </c>
      <c r="I14" s="217">
        <f>LOOKUP(2,1/(ResolveSwagger!$A:$A=$A14)/(ResolveSwagger!$C:$C=$C14),(ResolveSwagger!G:G))</f>
        <v>330.51522469143202</v>
      </c>
      <c r="J14" s="274">
        <f>H14*5*$B$1*$F14+$E14*$B$1</f>
        <v>50386443.827611513</v>
      </c>
      <c r="K14" s="276">
        <f>I14*5*$B$1*$F14+$E14*$B$1</f>
        <v>10576487.190125825</v>
      </c>
      <c r="L14" s="217">
        <f>J14-K14</f>
        <v>39809956.63748569</v>
      </c>
      <c r="M14" s="274">
        <f>LOOKUP(2,1/(ResolveSwagger!$A:$A="PERFECT")/(ResolveSwagger!$C:$C=$C14),(ResolveSwagger!F:F))*$B$1</f>
        <v>14999998.2357143</v>
      </c>
      <c r="N14" s="275">
        <f>LOOKUP(2,1/(ResolveSwagger!$A:$A="PERFECT")/(ResolveSwagger!$C:$C=$C14),(ResolveSwagger!G:G))*$B$1</f>
        <v>14022540.9424242</v>
      </c>
      <c r="O14" s="254">
        <f>M14-K14</f>
        <v>4423511.0455884747</v>
      </c>
      <c r="P14" s="102">
        <f>O14/J14</f>
        <v>8.7791689779154705E-2</v>
      </c>
      <c r="Q14" s="231">
        <f>O14/K14</f>
        <v>0.41824009863296113</v>
      </c>
      <c r="R14" s="100">
        <f>M14-J14</f>
        <v>-35386445.591897212</v>
      </c>
      <c r="S14" s="100">
        <f>N14-K14</f>
        <v>3446053.7522983756</v>
      </c>
      <c r="T14" s="100">
        <f>N14-J14</f>
        <v>-36363902.885187313</v>
      </c>
      <c r="U14" s="98">
        <f>_xlfn.STDEV.P(O14,R14,S14,T14)</f>
        <v>19910977.313021936</v>
      </c>
    </row>
    <row r="15" spans="1:21" x14ac:dyDescent="0.15">
      <c r="A15" s="224" t="s">
        <v>132</v>
      </c>
      <c r="B15" s="249">
        <v>2</v>
      </c>
      <c r="C15" s="292" t="s">
        <v>31</v>
      </c>
      <c r="D15" s="286" t="s">
        <v>32</v>
      </c>
      <c r="E15" s="218">
        <f>VLOOKUP("JUNGLE_KEY",ResolveSwagger!A:N,14,FALSE)</f>
        <v>237836.85884302552</v>
      </c>
      <c r="F15" s="219">
        <v>6400</v>
      </c>
      <c r="G15" s="219">
        <v>240</v>
      </c>
      <c r="H15" s="220">
        <f>LOOKUP(2,1/(ResolveSwagger!$A:$A=$A15)/(ResolveSwagger!$C:$C=$C15),(ResolveSwagger!F:F))</f>
        <v>449.036363636364</v>
      </c>
      <c r="I15" s="221">
        <f>LOOKUP(2,1/(ResolveSwagger!$A:$A=$A15)/(ResolveSwagger!$C:$C=$C15),(ResolveSwagger!G:G))</f>
        <v>340.40882759882498</v>
      </c>
      <c r="J15" s="293">
        <f>H15*5*$B$1*$F15+$E15*$B$1</f>
        <v>14607000.495206673</v>
      </c>
      <c r="K15" s="295">
        <f>I15*5*$B$1*$F15+$E15*$B$1</f>
        <v>11130919.342005424</v>
      </c>
      <c r="L15" s="221">
        <f>J15-K15</f>
        <v>3476081.1532012485</v>
      </c>
      <c r="M15" s="293">
        <f>LOOKUP(2,1/(ResolveSwagger!$A:$A="PERFECT")/(ResolveSwagger!$C:$C=$C15),(ResolveSwagger!F:F))*$B$1</f>
        <v>13400289.721621601</v>
      </c>
      <c r="N15" s="294">
        <f>LOOKUP(2,1/(ResolveSwagger!$A:$A="PERFECT")/(ResolveSwagger!$C:$C=$C15),(ResolveSwagger!G:G))*$B$1</f>
        <v>12458500</v>
      </c>
      <c r="O15" s="254">
        <f>M15-K15</f>
        <v>2269370.3796161767</v>
      </c>
      <c r="P15" s="102">
        <f>O15/J15</f>
        <v>0.15536183355103445</v>
      </c>
      <c r="Q15" s="231">
        <f>O15/K15</f>
        <v>0.20387986920829768</v>
      </c>
      <c r="R15" s="100">
        <f>M15-J15</f>
        <v>-1206710.7735850718</v>
      </c>
      <c r="S15" s="100">
        <f>N15-K15</f>
        <v>1327580.6579945758</v>
      </c>
      <c r="T15" s="100">
        <f>N15-J15</f>
        <v>-2148500.4952066727</v>
      </c>
      <c r="U15" s="98">
        <f>_xlfn.STDEV.P(O15,R15,S15,T15)</f>
        <v>1800701.8120300355</v>
      </c>
    </row>
    <row r="16" spans="1:21" x14ac:dyDescent="0.15">
      <c r="A16" s="224" t="s">
        <v>131</v>
      </c>
      <c r="B16" s="239">
        <v>2</v>
      </c>
      <c r="C16" s="285" t="s">
        <v>31</v>
      </c>
      <c r="D16" s="286" t="s">
        <v>32</v>
      </c>
      <c r="E16" s="187">
        <f>VLOOKUP("JUNGLE_KEY",ResolveSwagger!A:N,14,FALSE)</f>
        <v>237836.85884302552</v>
      </c>
      <c r="F16" s="188">
        <v>1</v>
      </c>
      <c r="G16" s="188"/>
      <c r="H16" s="189">
        <f>LOOKUP(2,1/(ResolveSwagger!$A:$A=$A16)/(ResolveSwagger!$C:$C=$C16),(ResolveSwagger!F:F))</f>
        <v>2599995.2868055599</v>
      </c>
      <c r="I16" s="190">
        <f>LOOKUP(2,1/(ResolveSwagger!$A:$A=$A16)/(ResolveSwagger!$C:$C=$C16),(ResolveSwagger!G:G))</f>
        <v>2250881.2685185201</v>
      </c>
      <c r="J16" s="287">
        <f>H16*5*$B$1*$F16+$E16*$B$1</f>
        <v>13237813.292870823</v>
      </c>
      <c r="K16" s="289">
        <f>I16*5*$B$1*$F16+$E16*$B$1</f>
        <v>11492243.201435626</v>
      </c>
      <c r="L16" s="190">
        <f>J16-K16</f>
        <v>1745570.0914351977</v>
      </c>
      <c r="M16" s="287">
        <f>LOOKUP(2,1/(ResolveSwagger!$A:$A="PERFECT")/(ResolveSwagger!$C:$C=$C16),(ResolveSwagger!F:F))*$B$1</f>
        <v>13400289.721621601</v>
      </c>
      <c r="N16" s="288">
        <f>LOOKUP(2,1/(ResolveSwagger!$A:$A="PERFECT")/(ResolveSwagger!$C:$C=$C16),(ResolveSwagger!G:G))*$B$1</f>
        <v>12458500</v>
      </c>
      <c r="O16" s="244">
        <f>M16-K16</f>
        <v>1908046.5201859754</v>
      </c>
      <c r="P16" s="102">
        <f>O16/J16</f>
        <v>0.14413608033084641</v>
      </c>
      <c r="Q16" s="231">
        <f>O16/K16</f>
        <v>0.1660290760247416</v>
      </c>
      <c r="R16" s="100">
        <f>M16-J16</f>
        <v>162476.42875077762</v>
      </c>
      <c r="S16" s="100">
        <f>N16-K16</f>
        <v>966256.79856437445</v>
      </c>
      <c r="T16" s="100">
        <f>N16-J16</f>
        <v>-779313.29287082329</v>
      </c>
      <c r="U16" s="98">
        <f>_xlfn.STDEV.P(O16,R16,S16,T16)</f>
        <v>991713.5201086523</v>
      </c>
    </row>
    <row r="17" spans="1:21" x14ac:dyDescent="0.15">
      <c r="A17" s="224" t="s">
        <v>133</v>
      </c>
      <c r="B17" s="475">
        <v>2</v>
      </c>
      <c r="C17" s="477" t="s">
        <v>31</v>
      </c>
      <c r="D17" s="286" t="s">
        <v>32</v>
      </c>
      <c r="E17" s="479">
        <f>VLOOKUP("JUNGLE_KEY",ResolveSwagger!A:N,14,FALSE)</f>
        <v>237836.85884302552</v>
      </c>
      <c r="F17" s="481">
        <v>80</v>
      </c>
      <c r="G17" s="481">
        <v>19200</v>
      </c>
      <c r="H17" s="483">
        <f>LOOKUP(2,1/(ResolveSwagger!$A:$A=$A17)/(ResolveSwagger!$C:$C=$C17),(ResolveSwagger!F:F))</f>
        <v>31928.4985358712</v>
      </c>
      <c r="I17" s="485">
        <f>LOOKUP(2,1/(ResolveSwagger!$A:$A=$A17)/(ResolveSwagger!$C:$C=$C17),(ResolveSwagger!G:G))</f>
        <v>29753.160961810499</v>
      </c>
      <c r="J17" s="290">
        <f>H17*5*$B$1*$F17+$E17*$B$1</f>
        <v>13009236.273191506</v>
      </c>
      <c r="K17" s="291">
        <f>I17*5*$B$1*$F17+$E17*$B$1</f>
        <v>12139101.243567225</v>
      </c>
      <c r="L17" s="485">
        <f>J17-K17</f>
        <v>870135.02962428145</v>
      </c>
      <c r="M17" s="290">
        <f>LOOKUP(2,1/(ResolveSwagger!$A:$A="PERFECT")/(ResolveSwagger!$C:$C=$C17),(ResolveSwagger!F:F))*$B$1</f>
        <v>13400289.721621601</v>
      </c>
      <c r="N17" s="487">
        <f>LOOKUP(2,1/(ResolveSwagger!$A:$A="PERFECT")/(ResolveSwagger!$C:$C=$C17),(ResolveSwagger!G:G))*$B$1</f>
        <v>12458500</v>
      </c>
      <c r="O17" s="489">
        <f>M17-K17</f>
        <v>1261188.4780543763</v>
      </c>
      <c r="P17" s="102">
        <f>O17/J17</f>
        <v>9.6945620140157063E-2</v>
      </c>
      <c r="Q17" s="231">
        <f>O17/K17</f>
        <v>0.10389471615311782</v>
      </c>
      <c r="R17" s="491">
        <f>M17-J17</f>
        <v>391053.44843009487</v>
      </c>
      <c r="S17" s="491">
        <f>N17-K17</f>
        <v>319398.75643277541</v>
      </c>
      <c r="T17" s="491">
        <f>N17-J17</f>
        <v>-550736.27319150604</v>
      </c>
      <c r="U17" s="98">
        <f>_xlfn.STDEV.P(O17,R17,S17,T17)</f>
        <v>641112.87023646268</v>
      </c>
    </row>
    <row r="18" spans="1:21" x14ac:dyDescent="0.15">
      <c r="A18" s="224" t="s">
        <v>132</v>
      </c>
      <c r="B18" s="249">
        <v>1</v>
      </c>
      <c r="C18" s="304" t="s">
        <v>47</v>
      </c>
      <c r="D18" s="305" t="s">
        <v>48</v>
      </c>
      <c r="E18" s="306">
        <v>0</v>
      </c>
      <c r="F18" s="307">
        <v>6400</v>
      </c>
      <c r="G18" s="307">
        <v>320</v>
      </c>
      <c r="H18" s="308">
        <f>LOOKUP(2,1/(ResolveSwagger!$A:$A=$A18)/(ResolveSwagger!$C:$C=$C18),(ResolveSwagger!F:F))</f>
        <v>1197.1194960549799</v>
      </c>
      <c r="I18" s="309">
        <f>LOOKUP(2,1/(ResolveSwagger!$A:$A=$A18)/(ResolveSwagger!$C:$C=$C18),(ResolveSwagger!G:G))</f>
        <v>652.82629618997498</v>
      </c>
      <c r="J18" s="310">
        <f>H18*5*$B$1*$F18+$E18*$B$1</f>
        <v>38307823.873759359</v>
      </c>
      <c r="K18" s="311">
        <f>I18*5*$B$1*$F18+$E18*$B$1</f>
        <v>20890441.4780792</v>
      </c>
      <c r="L18" s="309">
        <f>J18-K18</f>
        <v>17417382.395680159</v>
      </c>
      <c r="M18" s="310">
        <f>LOOKUP(2,1/(ResolveSwagger!$A:$A="PERFECT")/(ResolveSwagger!$C:$C=$C18),(ResolveSwagger!F:F))*$B$1</f>
        <v>29406831.149999999</v>
      </c>
      <c r="N18" s="312">
        <f>LOOKUP(2,1/(ResolveSwagger!$A:$A="PERFECT")/(ResolveSwagger!$C:$C=$C18),(ResolveSwagger!G:G))*$B$1</f>
        <v>28168462.801408499</v>
      </c>
      <c r="O18" s="254">
        <f>M18-K18</f>
        <v>8516389.6719207987</v>
      </c>
      <c r="P18" s="102">
        <f>O18/J18</f>
        <v>0.22231462951239256</v>
      </c>
      <c r="Q18" s="231">
        <f>O18/K18</f>
        <v>0.40766920511743299</v>
      </c>
      <c r="R18" s="100">
        <f>M18-J18</f>
        <v>-8900992.7237593606</v>
      </c>
      <c r="S18" s="100">
        <f>N18-K18</f>
        <v>7278021.3233292997</v>
      </c>
      <c r="T18" s="100">
        <f>N18-J18</f>
        <v>-10139361.07235086</v>
      </c>
      <c r="U18" s="98">
        <f>_xlfn.STDEV.P(O18,R18,S18,T18)</f>
        <v>8730675.3130004536</v>
      </c>
    </row>
    <row r="19" spans="1:21" x14ac:dyDescent="0.15">
      <c r="A19" s="224" t="s">
        <v>133</v>
      </c>
      <c r="B19" s="233">
        <v>1</v>
      </c>
      <c r="C19" s="329" t="s">
        <v>42</v>
      </c>
      <c r="D19" s="330" t="s">
        <v>43</v>
      </c>
      <c r="E19" s="331">
        <v>0</v>
      </c>
      <c r="F19" s="332">
        <v>80</v>
      </c>
      <c r="G19" s="332">
        <v>19200</v>
      </c>
      <c r="H19" s="333">
        <f>LOOKUP(2,1/(ResolveSwagger!$A:$A=$A19)/(ResolveSwagger!$C:$C=$C19),(ResolveSwagger!F:F))</f>
        <v>25651.275368899001</v>
      </c>
      <c r="I19" s="334">
        <f>LOOKUP(2,1/(ResolveSwagger!$A:$A=$A19)/(ResolveSwagger!$C:$C=$C19),(ResolveSwagger!G:G))</f>
        <v>20886.5417853129</v>
      </c>
      <c r="J19" s="335">
        <f>H19*5*$B$1*$F19+$E19*$B$1</f>
        <v>10260510.147559602</v>
      </c>
      <c r="K19" s="336">
        <f>I19*5*$B$1*$F19+$E19*$B$1</f>
        <v>8354616.7141251601</v>
      </c>
      <c r="L19" s="334">
        <f>J19-K19</f>
        <v>1905893.4334344417</v>
      </c>
      <c r="M19" s="335">
        <f>LOOKUP(2,1/(ResolveSwagger!$A:$A="PERFECT")/(ResolveSwagger!$C:$C=$C19),(ResolveSwagger!F:F))*$B$1</f>
        <v>11731607.574999999</v>
      </c>
      <c r="N19" s="337">
        <f>LOOKUP(2,1/(ResolveSwagger!$A:$A="PERFECT")/(ResolveSwagger!$C:$C=$C19),(ResolveSwagger!G:G))*$B$1</f>
        <v>9500002.8406249993</v>
      </c>
      <c r="O19" s="238">
        <f>M19-K19</f>
        <v>3376990.8608748391</v>
      </c>
      <c r="P19" s="102">
        <f>O19/J19</f>
        <v>0.32912504469166531</v>
      </c>
      <c r="Q19" s="231">
        <f>O19/K19</f>
        <v>0.40420655745527578</v>
      </c>
      <c r="R19" s="100">
        <f>M19-J19</f>
        <v>1471097.4274403974</v>
      </c>
      <c r="S19" s="100">
        <f>N19-K19</f>
        <v>1145386.1264998391</v>
      </c>
      <c r="T19" s="100">
        <f>N19-J19</f>
        <v>-760507.30693460256</v>
      </c>
      <c r="U19" s="98">
        <f>_xlfn.STDEV.P(O19,R19,S19,T19)</f>
        <v>1467352.162067225</v>
      </c>
    </row>
    <row r="20" spans="1:21" x14ac:dyDescent="0.15">
      <c r="A20" s="224" t="s">
        <v>132</v>
      </c>
      <c r="B20" s="249">
        <v>1</v>
      </c>
      <c r="C20" s="344" t="s">
        <v>162</v>
      </c>
      <c r="D20" s="330" t="s">
        <v>43</v>
      </c>
      <c r="E20" s="345">
        <v>0</v>
      </c>
      <c r="F20" s="346">
        <v>6400</v>
      </c>
      <c r="G20" s="346">
        <v>240</v>
      </c>
      <c r="H20" s="347">
        <f>LOOKUP(2,1/(ResolveSwagger!$A:$A=$A20)/(ResolveSwagger!$C:$C=$C20),(ResolveSwagger!F:F))</f>
        <v>596.9</v>
      </c>
      <c r="I20" s="348">
        <f>LOOKUP(2,1/(ResolveSwagger!$A:$A=$A20)/(ResolveSwagger!$C:$C=$C20),(ResolveSwagger!G:G))</f>
        <v>271.56202337728502</v>
      </c>
      <c r="J20" s="349">
        <f>H20*5*$B$1*$F20+$E20*$B$1</f>
        <v>19100800</v>
      </c>
      <c r="K20" s="350">
        <f>I20*5*$B$1*$F20+$E20*$B$1</f>
        <v>8689984.7480731197</v>
      </c>
      <c r="L20" s="348">
        <f>J20-K20</f>
        <v>10410815.25192688</v>
      </c>
      <c r="M20" s="349">
        <f>LOOKUP(2,1/(ResolveSwagger!$A:$A="PERFECT")/(ResolveSwagger!$C:$C=$C20),(ResolveSwagger!F:F))*$B$1</f>
        <v>11731607.574999999</v>
      </c>
      <c r="N20" s="351">
        <f>LOOKUP(2,1/(ResolveSwagger!$A:$A="PERFECT")/(ResolveSwagger!$C:$C=$C20),(ResolveSwagger!G:G))*$B$1</f>
        <v>9500002.8406249993</v>
      </c>
      <c r="O20" s="254">
        <f>M20-K20</f>
        <v>3041622.8269268796</v>
      </c>
      <c r="P20" s="102">
        <f>O20/J20</f>
        <v>0.15924059866219634</v>
      </c>
      <c r="Q20" s="231">
        <f>O20/K20</f>
        <v>0.35001474859910614</v>
      </c>
      <c r="R20" s="100">
        <f>M20-J20</f>
        <v>-7369192.4250000007</v>
      </c>
      <c r="S20" s="100">
        <f>N20-K20</f>
        <v>810018.09255187958</v>
      </c>
      <c r="T20" s="100">
        <f>N20-J20</f>
        <v>-9600797.1593750007</v>
      </c>
      <c r="U20" s="98">
        <f>_xlfn.STDEV.P(O20,R20,S20,T20)</f>
        <v>5323653.2076253388</v>
      </c>
    </row>
    <row r="21" spans="1:21" x14ac:dyDescent="0.15">
      <c r="A21" s="224" t="s">
        <v>131</v>
      </c>
      <c r="B21" s="239">
        <v>1</v>
      </c>
      <c r="C21" s="466" t="s">
        <v>42</v>
      </c>
      <c r="D21" s="330" t="s">
        <v>43</v>
      </c>
      <c r="E21" s="338">
        <v>0</v>
      </c>
      <c r="F21" s="467">
        <v>1</v>
      </c>
      <c r="G21" s="467"/>
      <c r="H21" s="339">
        <f>LOOKUP(2,1/(ResolveSwagger!$A:$A=$A21)/(ResolveSwagger!$C:$C=$C21),(ResolveSwagger!F:F))</f>
        <v>2013632.1663716801</v>
      </c>
      <c r="I21" s="340">
        <f>LOOKUP(2,1/(ResolveSwagger!$A:$A=$A21)/(ResolveSwagger!$C:$C=$C21),(ResolveSwagger!G:G))</f>
        <v>1800000.0016574599</v>
      </c>
      <c r="J21" s="341">
        <f>H21*5*$B$1*$F21+$E21*$B$1</f>
        <v>10068160.8318584</v>
      </c>
      <c r="K21" s="342">
        <f>I21*5*$B$1*$F21+$E21*$B$1</f>
        <v>9000000.0082872994</v>
      </c>
      <c r="L21" s="340">
        <f>J21-K21</f>
        <v>1068160.8235711008</v>
      </c>
      <c r="M21" s="341">
        <f>LOOKUP(2,1/(ResolveSwagger!$A:$A="PERFECT")/(ResolveSwagger!$C:$C=$C21),(ResolveSwagger!F:F))*$B$1</f>
        <v>11731607.574999999</v>
      </c>
      <c r="N21" s="343">
        <f>LOOKUP(2,1/(ResolveSwagger!$A:$A="PERFECT")/(ResolveSwagger!$C:$C=$C21),(ResolveSwagger!G:G))*$B$1</f>
        <v>9500002.8406249993</v>
      </c>
      <c r="O21" s="244">
        <f>M21-K21</f>
        <v>2731607.5667126998</v>
      </c>
      <c r="P21" s="102">
        <f>O21/J21</f>
        <v>0.27131147508779857</v>
      </c>
      <c r="Q21" s="231">
        <f>O21/K21</f>
        <v>0.3035119515774895</v>
      </c>
      <c r="R21" s="100">
        <f>M21-J21</f>
        <v>1663446.743141599</v>
      </c>
      <c r="S21" s="100">
        <f>N21-K21</f>
        <v>500002.83233769983</v>
      </c>
      <c r="T21" s="100">
        <f>N21-J21</f>
        <v>-568157.991233401</v>
      </c>
      <c r="U21" s="98">
        <f>_xlfn.STDEV.P(O21,R21,S21,T21)</f>
        <v>1237035.4921643324</v>
      </c>
    </row>
    <row r="22" spans="1:21" x14ac:dyDescent="0.15">
      <c r="A22" s="224" t="s">
        <v>133</v>
      </c>
      <c r="B22" s="233">
        <v>1</v>
      </c>
      <c r="C22" s="313" t="s">
        <v>47</v>
      </c>
      <c r="D22" s="305" t="s">
        <v>48</v>
      </c>
      <c r="E22" s="314">
        <v>0</v>
      </c>
      <c r="F22" s="315">
        <v>80</v>
      </c>
      <c r="G22" s="315">
        <v>25600</v>
      </c>
      <c r="H22" s="316">
        <f>LOOKUP(2,1/(ResolveSwagger!$A:$A=$A22)/(ResolveSwagger!$C:$C=$C22),(ResolveSwagger!F:F))</f>
        <v>63466.537569620203</v>
      </c>
      <c r="I22" s="317">
        <f>LOOKUP(2,1/(ResolveSwagger!$A:$A=$A22)/(ResolveSwagger!$C:$C=$C22),(ResolveSwagger!G:G))</f>
        <v>59345.965375854197</v>
      </c>
      <c r="J22" s="318">
        <f>H22*5*$B$1*$F22+$E22*$B$1</f>
        <v>25386615.02784808</v>
      </c>
      <c r="K22" s="319">
        <f>I22*5*$B$1*$F22+$E22*$B$1</f>
        <v>23738386.150341675</v>
      </c>
      <c r="L22" s="317">
        <f>J22-K22</f>
        <v>1648228.8775064051</v>
      </c>
      <c r="M22" s="318">
        <f>LOOKUP(2,1/(ResolveSwagger!$A:$A="PERFECT")/(ResolveSwagger!$C:$C=$C22),(ResolveSwagger!F:F))*$B$1</f>
        <v>29406831.149999999</v>
      </c>
      <c r="N22" s="320">
        <f>LOOKUP(2,1/(ResolveSwagger!$A:$A="PERFECT")/(ResolveSwagger!$C:$C=$C22),(ResolveSwagger!G:G))*$B$1</f>
        <v>28168462.801408499</v>
      </c>
      <c r="O22" s="238">
        <f>M22-K22</f>
        <v>5668444.9996583238</v>
      </c>
      <c r="P22" s="102">
        <f>O22/J22</f>
        <v>0.22328478977761593</v>
      </c>
      <c r="Q22" s="231">
        <f>O22/K22</f>
        <v>0.23878813680755362</v>
      </c>
      <c r="R22" s="100">
        <f>M22-J22</f>
        <v>4020216.1221519187</v>
      </c>
      <c r="S22" s="100">
        <f>N22-K22</f>
        <v>4430076.6510668248</v>
      </c>
      <c r="T22" s="100">
        <f>N22-J22</f>
        <v>2781847.7735604197</v>
      </c>
      <c r="U22" s="98">
        <f>_xlfn.STDEV.P(O22,R22,S22,T22)</f>
        <v>1030802.4300804769</v>
      </c>
    </row>
    <row r="23" spans="1:21" x14ac:dyDescent="0.15">
      <c r="A23" s="224" t="s">
        <v>131</v>
      </c>
      <c r="B23" s="239">
        <v>1</v>
      </c>
      <c r="C23" s="321" t="s">
        <v>47</v>
      </c>
      <c r="D23" s="305" t="s">
        <v>48</v>
      </c>
      <c r="E23" s="322">
        <v>0</v>
      </c>
      <c r="F23" s="323">
        <v>1</v>
      </c>
      <c r="G23" s="323"/>
      <c r="H23" s="324">
        <f>LOOKUP(2,1/(ResolveSwagger!$A:$A=$A23)/(ResolveSwagger!$C:$C=$C23),(ResolveSwagger!F:F))</f>
        <v>5160837.25</v>
      </c>
      <c r="I23" s="325">
        <f>LOOKUP(2,1/(ResolveSwagger!$A:$A=$A23)/(ResolveSwagger!$C:$C=$C23),(ResolveSwagger!G:G))</f>
        <v>4886129.96</v>
      </c>
      <c r="J23" s="326">
        <f>H23*5*$B$1*$F23+$E23*$B$1</f>
        <v>25804186.25</v>
      </c>
      <c r="K23" s="327">
        <f>I23*5*$B$1*$F23+$E23*$B$1</f>
        <v>24430649.800000001</v>
      </c>
      <c r="L23" s="325">
        <f>J23-K23</f>
        <v>1373536.4499999993</v>
      </c>
      <c r="M23" s="326">
        <f>LOOKUP(2,1/(ResolveSwagger!$A:$A="PERFECT")/(ResolveSwagger!$C:$C=$C23),(ResolveSwagger!F:F))*$B$1</f>
        <v>29406831.149999999</v>
      </c>
      <c r="N23" s="328">
        <f>LOOKUP(2,1/(ResolveSwagger!$A:$A="PERFECT")/(ResolveSwagger!$C:$C=$C23),(ResolveSwagger!G:G))*$B$1</f>
        <v>28168462.801408499</v>
      </c>
      <c r="O23" s="244">
        <f>M23-K23</f>
        <v>4976181.3499999978</v>
      </c>
      <c r="P23" s="102">
        <f>O23/J23</f>
        <v>0.19284395569730464</v>
      </c>
      <c r="Q23" s="231">
        <f>O23/K23</f>
        <v>0.20368600060731898</v>
      </c>
      <c r="R23" s="100">
        <f>M23-J23</f>
        <v>3602644.8999999985</v>
      </c>
      <c r="S23" s="100">
        <f>N23-K23</f>
        <v>3737813.0014084987</v>
      </c>
      <c r="T23" s="100">
        <f>N23-J23</f>
        <v>2364276.5514084995</v>
      </c>
      <c r="U23" s="98">
        <f>_xlfn.STDEV.P(O23,R23,S23,T23)</f>
        <v>924683.53319822834</v>
      </c>
    </row>
    <row r="24" spans="1:21" x14ac:dyDescent="0.15">
      <c r="A24" s="224" t="s">
        <v>131</v>
      </c>
      <c r="B24" s="239">
        <v>0</v>
      </c>
      <c r="C24" s="361" t="s">
        <v>17</v>
      </c>
      <c r="D24" s="353" t="s">
        <v>18</v>
      </c>
      <c r="E24" s="362">
        <v>0</v>
      </c>
      <c r="F24" s="363">
        <v>1</v>
      </c>
      <c r="G24" s="363"/>
      <c r="H24" s="364">
        <f>LOOKUP(2,1/(ResolveSwagger!$A:$A=$A24)/(ResolveSwagger!$C:$C=$C24),(ResolveSwagger!F:F))</f>
        <v>1945865.11363636</v>
      </c>
      <c r="I24" s="365">
        <f>LOOKUP(2,1/(ResolveSwagger!$A:$A=$A24)/(ResolveSwagger!$C:$C=$C24),(ResolveSwagger!G:G))</f>
        <v>1213819.3058823501</v>
      </c>
      <c r="J24" s="366">
        <f>H24*5*$B$1*$F24+$E24*$B$1</f>
        <v>9729325.5681817997</v>
      </c>
      <c r="K24" s="367">
        <f>I24*5*$B$1*$F24+$E24*$B$1</f>
        <v>6069096.5294117499</v>
      </c>
      <c r="L24" s="365">
        <f>J24-K24</f>
        <v>3660229.0387700498</v>
      </c>
      <c r="M24" s="366">
        <f>LOOKUP(2,1/(ResolveSwagger!$A:$A="PERFECT")/(ResolveSwagger!$C:$C=$C24),(ResolveSwagger!F:F))*$B$1</f>
        <v>17680651.219999999</v>
      </c>
      <c r="N24" s="368">
        <f>LOOKUP(2,1/(ResolveSwagger!$A:$A="PERFECT")/(ResolveSwagger!$C:$C=$C24),(ResolveSwagger!G:G))*$B$1</f>
        <v>15115964.2444444</v>
      </c>
      <c r="O24" s="244">
        <f>M24-K24</f>
        <v>11611554.690588249</v>
      </c>
      <c r="P24" s="102">
        <f>O24/J24</f>
        <v>1.193459362544304</v>
      </c>
      <c r="Q24" s="231">
        <f>O24/K24</f>
        <v>1.9132262329849126</v>
      </c>
      <c r="R24" s="100">
        <f>M24-J24</f>
        <v>7951325.6518181991</v>
      </c>
      <c r="S24" s="100">
        <f>N24-K24</f>
        <v>9046867.7150326502</v>
      </c>
      <c r="T24" s="100">
        <f>N24-J24</f>
        <v>5386638.6762626003</v>
      </c>
      <c r="U24" s="98">
        <f>_xlfn.STDEV.P(O24,R24,S24,T24)</f>
        <v>2234664.1749287555</v>
      </c>
    </row>
    <row r="25" spans="1:21" x14ac:dyDescent="0.15">
      <c r="A25" s="224" t="s">
        <v>131</v>
      </c>
      <c r="B25" s="239">
        <v>0</v>
      </c>
      <c r="C25" s="402" t="s">
        <v>28</v>
      </c>
      <c r="D25" s="403" t="s">
        <v>29</v>
      </c>
      <c r="E25" s="404">
        <v>0</v>
      </c>
      <c r="F25" s="405">
        <v>1</v>
      </c>
      <c r="G25" s="405"/>
      <c r="H25" s="406">
        <f>LOOKUP(2,1/(ResolveSwagger!$A:$A=$A25)/(ResolveSwagger!$C:$C=$C25),(ResolveSwagger!F:F))</f>
        <v>1645984.32</v>
      </c>
      <c r="I25" s="407">
        <f>LOOKUP(2,1/(ResolveSwagger!$A:$A=$A25)/(ResolveSwagger!$C:$C=$C25),(ResolveSwagger!G:G))</f>
        <v>1351873.7242424199</v>
      </c>
      <c r="J25" s="408">
        <f>H25*5*$B$1*$F25+$E25*$B$1</f>
        <v>8229921.6000000006</v>
      </c>
      <c r="K25" s="409">
        <f>I25*5*$B$1*$F25+$E25*$B$1</f>
        <v>6759368.6212120997</v>
      </c>
      <c r="L25" s="407">
        <f>J25-K25</f>
        <v>1470552.9787879009</v>
      </c>
      <c r="M25" s="408">
        <f>LOOKUP(2,1/(ResolveSwagger!$A:$A="PERFECT")/(ResolveSwagger!$C:$C=$C25),(ResolveSwagger!F:F))*$B$1</f>
        <v>13602081.847619001</v>
      </c>
      <c r="N25" s="410">
        <f>LOOKUP(2,1/(ResolveSwagger!$A:$A="PERFECT")/(ResolveSwagger!$C:$C=$C25),(ResolveSwagger!G:G))*$B$1</f>
        <v>11977926.990625</v>
      </c>
      <c r="O25" s="244">
        <f>M25-K25</f>
        <v>6842713.2264069011</v>
      </c>
      <c r="P25" s="102">
        <f>O25/J25</f>
        <v>0.83144330638664898</v>
      </c>
      <c r="Q25" s="231">
        <f>O25/K25</f>
        <v>1.0123302352431633</v>
      </c>
      <c r="R25" s="100">
        <f>M25-J25</f>
        <v>5372160.2476190003</v>
      </c>
      <c r="S25" s="100">
        <f>N25-K25</f>
        <v>5218558.3694128999</v>
      </c>
      <c r="T25" s="100">
        <f>N25-J25</f>
        <v>3748005.3906249991</v>
      </c>
      <c r="U25" s="98">
        <f>_xlfn.STDEV.P(O25,R25,S25,T25)</f>
        <v>1095491.3353056668</v>
      </c>
    </row>
    <row r="26" spans="1:21" x14ac:dyDescent="0.15">
      <c r="A26" s="224" t="s">
        <v>132</v>
      </c>
      <c r="B26" s="249">
        <v>0</v>
      </c>
      <c r="C26" s="386" t="s">
        <v>45</v>
      </c>
      <c r="D26" s="378" t="s">
        <v>29</v>
      </c>
      <c r="E26" s="387">
        <v>0</v>
      </c>
      <c r="F26" s="388">
        <v>6400</v>
      </c>
      <c r="G26" s="388">
        <v>320</v>
      </c>
      <c r="H26" s="389">
        <f>LOOKUP(2,1/(ResolveSwagger!$A:$A=$A26)/(ResolveSwagger!$C:$C=$C26),(ResolveSwagger!F:F))</f>
        <v>437.13934930003398</v>
      </c>
      <c r="I26" s="390">
        <f>LOOKUP(2,1/(ResolveSwagger!$A:$A=$A26)/(ResolveSwagger!$C:$C=$C26),(ResolveSwagger!G:G))</f>
        <v>359.84615091227698</v>
      </c>
      <c r="J26" s="391">
        <f>H26*5*$B$1*$F26+$E26*$B$1</f>
        <v>13988459.177601088</v>
      </c>
      <c r="K26" s="392">
        <f>I26*5*$B$1*$F26+$E26*$B$1</f>
        <v>11515076.829192864</v>
      </c>
      <c r="L26" s="390">
        <f>J26-K26</f>
        <v>2473382.3484082241</v>
      </c>
      <c r="M26" s="391">
        <f>LOOKUP(2,1/(ResolveSwagger!$A:$A="PERFECT")/(ResolveSwagger!$C:$C=$C26),(ResolveSwagger!F:F))*$B$1</f>
        <v>21692982.921428598</v>
      </c>
      <c r="N26" s="393">
        <f>LOOKUP(2,1/(ResolveSwagger!$A:$A="PERFECT")/(ResolveSwagger!$C:$C=$C26),(ResolveSwagger!G:G))*$B$1</f>
        <v>20696278.978947401</v>
      </c>
      <c r="O26" s="254">
        <f>M26-K26</f>
        <v>10177906.092235735</v>
      </c>
      <c r="P26" s="102">
        <f>O26/J26</f>
        <v>0.72759307962474007</v>
      </c>
      <c r="Q26" s="231">
        <f>O26/K26</f>
        <v>0.88387652494274704</v>
      </c>
      <c r="R26" s="100">
        <f>M26-J26</f>
        <v>7704523.7438275106</v>
      </c>
      <c r="S26" s="100">
        <f>N26-K26</f>
        <v>9181202.1497545373</v>
      </c>
      <c r="T26" s="100">
        <f>N26-J26</f>
        <v>6707819.8013463132</v>
      </c>
      <c r="U26" s="98">
        <f>_xlfn.STDEV.P(O26,R26,S26,T26)</f>
        <v>1333326.5719971796</v>
      </c>
    </row>
    <row r="27" spans="1:21" x14ac:dyDescent="0.15">
      <c r="A27" s="224" t="s">
        <v>132</v>
      </c>
      <c r="B27" s="249">
        <v>0</v>
      </c>
      <c r="C27" s="352" t="s">
        <v>17</v>
      </c>
      <c r="D27" s="353" t="s">
        <v>18</v>
      </c>
      <c r="E27" s="354">
        <v>0</v>
      </c>
      <c r="F27" s="355">
        <v>6400</v>
      </c>
      <c r="G27" s="355">
        <v>320</v>
      </c>
      <c r="H27" s="356">
        <f>LOOKUP(2,1/(ResolveSwagger!$A:$A=$A27)/(ResolveSwagger!$C:$C=$C27),(ResolveSwagger!F:F))</f>
        <v>974.532545216823</v>
      </c>
      <c r="I27" s="357">
        <f>LOOKUP(2,1/(ResolveSwagger!$A:$A=$A27)/(ResolveSwagger!$C:$C=$C27),(ResolveSwagger!G:G))</f>
        <v>297.44150404447902</v>
      </c>
      <c r="J27" s="358">
        <f>H27*5*$B$1*$F27+$E27*$B$1</f>
        <v>31185041.446938336</v>
      </c>
      <c r="K27" s="359">
        <f>I27*5*$B$1*$F27+$E27*$B$1</f>
        <v>9518128.1294233277</v>
      </c>
      <c r="L27" s="357">
        <f>J27-K27</f>
        <v>21666913.317515008</v>
      </c>
      <c r="M27" s="358">
        <f>LOOKUP(2,1/(ResolveSwagger!$A:$A="PERFECT")/(ResolveSwagger!$C:$C=$C27),(ResolveSwagger!F:F))*$B$1</f>
        <v>17680651.219999999</v>
      </c>
      <c r="N27" s="360">
        <f>LOOKUP(2,1/(ResolveSwagger!$A:$A="PERFECT")/(ResolveSwagger!$C:$C=$C27),(ResolveSwagger!G:G))*$B$1</f>
        <v>15115964.2444444</v>
      </c>
      <c r="O27" s="254">
        <f>M27-K27</f>
        <v>8162523.0905766711</v>
      </c>
      <c r="P27" s="102">
        <f>O27/J27</f>
        <v>0.26174482097339158</v>
      </c>
      <c r="Q27" s="231">
        <f>O27/K27</f>
        <v>0.85757650869858715</v>
      </c>
      <c r="R27" s="100">
        <f>M27-J27</f>
        <v>-13504390.226938337</v>
      </c>
      <c r="S27" s="100">
        <f>N27-K27</f>
        <v>5597836.1150210723</v>
      </c>
      <c r="T27" s="100">
        <f>N27-J27</f>
        <v>-16069077.202493936</v>
      </c>
      <c r="U27" s="98">
        <f>_xlfn.STDEV.P(O27,R27,S27,T27)</f>
        <v>10909087.404445132</v>
      </c>
    </row>
    <row r="28" spans="1:21" x14ac:dyDescent="0.15">
      <c r="A28" s="224" t="s">
        <v>133</v>
      </c>
      <c r="B28" s="233">
        <v>0</v>
      </c>
      <c r="C28" s="377" t="s">
        <v>45</v>
      </c>
      <c r="D28" s="378" t="s">
        <v>29</v>
      </c>
      <c r="E28" s="379">
        <v>0</v>
      </c>
      <c r="F28" s="380">
        <v>80</v>
      </c>
      <c r="G28" s="380">
        <v>25600</v>
      </c>
      <c r="H28" s="381">
        <f>LOOKUP(2,1/(ResolveSwagger!$A:$A=$A28)/(ResolveSwagger!$C:$C=$C28),(ResolveSwagger!F:F))</f>
        <v>32671.9341286581</v>
      </c>
      <c r="I28" s="382">
        <f>LOOKUP(2,1/(ResolveSwagger!$A:$A=$A28)/(ResolveSwagger!$C:$C=$C28),(ResolveSwagger!G:G))</f>
        <v>29417.646135831401</v>
      </c>
      <c r="J28" s="383">
        <f>H28*5*$B$1*$F28+$E28*$B$1</f>
        <v>13068773.65146324</v>
      </c>
      <c r="K28" s="384">
        <f>I28*5*$B$1*$F28+$E28*$B$1</f>
        <v>11767058.45433256</v>
      </c>
      <c r="L28" s="382">
        <f>J28-K28</f>
        <v>1301715.1971306801</v>
      </c>
      <c r="M28" s="383">
        <f>LOOKUP(2,1/(ResolveSwagger!$A:$A="PERFECT")/(ResolveSwagger!$C:$C=$C28),(ResolveSwagger!F:F))*$B$1</f>
        <v>21692982.921428598</v>
      </c>
      <c r="N28" s="385">
        <f>LOOKUP(2,1/(ResolveSwagger!$A:$A="PERFECT")/(ResolveSwagger!$C:$C=$C28),(ResolveSwagger!G:G))*$B$1</f>
        <v>20696278.978947401</v>
      </c>
      <c r="O28" s="238">
        <f>M28-K28</f>
        <v>9925924.4670960382</v>
      </c>
      <c r="P28" s="102">
        <f>O28/J28</f>
        <v>0.75951460571701657</v>
      </c>
      <c r="Q28" s="231">
        <f>O28/K28</f>
        <v>0.84353489919491076</v>
      </c>
      <c r="R28" s="100">
        <f>M28-J28</f>
        <v>8624209.2699653581</v>
      </c>
      <c r="S28" s="100">
        <f>N28-K28</f>
        <v>8929220.5246148407</v>
      </c>
      <c r="T28" s="100">
        <f>N28-J28</f>
        <v>7627505.3274841607</v>
      </c>
      <c r="U28" s="98">
        <f>_xlfn.STDEV.P(O28,R28,S28,T28)</f>
        <v>819737.94644973695</v>
      </c>
    </row>
    <row r="29" spans="1:21" x14ac:dyDescent="0.15">
      <c r="A29" s="224" t="s">
        <v>133</v>
      </c>
      <c r="B29" s="233">
        <v>0</v>
      </c>
      <c r="C29" s="369" t="s">
        <v>17</v>
      </c>
      <c r="D29" s="353" t="s">
        <v>18</v>
      </c>
      <c r="E29" s="370">
        <v>0</v>
      </c>
      <c r="F29" s="371">
        <v>80</v>
      </c>
      <c r="G29" s="371">
        <v>25600</v>
      </c>
      <c r="H29" s="372">
        <f>LOOKUP(2,1/(ResolveSwagger!$A:$A=$A29)/(ResolveSwagger!$C:$C=$C29),(ResolveSwagger!F:F))</f>
        <v>25667.982004284699</v>
      </c>
      <c r="I29" s="373">
        <f>LOOKUP(2,1/(ResolveSwagger!$A:$A=$A29)/(ResolveSwagger!$C:$C=$C29),(ResolveSwagger!G:G))</f>
        <v>24462.260454466199</v>
      </c>
      <c r="J29" s="374">
        <f>H29*5*$B$1*$F29+$E29*$B$1</f>
        <v>10267192.80171388</v>
      </c>
      <c r="K29" s="375">
        <f>I29*5*$B$1*$F29+$E29*$B$1</f>
        <v>9784904.1817864794</v>
      </c>
      <c r="L29" s="373">
        <f>J29-K29</f>
        <v>482288.61992740072</v>
      </c>
      <c r="M29" s="374">
        <f>LOOKUP(2,1/(ResolveSwagger!$A:$A="PERFECT")/(ResolveSwagger!$C:$C=$C29),(ResolveSwagger!F:F))*$B$1</f>
        <v>17680651.219999999</v>
      </c>
      <c r="N29" s="376">
        <f>LOOKUP(2,1/(ResolveSwagger!$A:$A="PERFECT")/(ResolveSwagger!$C:$C=$C29),(ResolveSwagger!G:G))*$B$1</f>
        <v>15115964.2444444</v>
      </c>
      <c r="O29" s="238">
        <f>M29-K29</f>
        <v>7895747.0382135194</v>
      </c>
      <c r="P29" s="102">
        <f>O29/J29</f>
        <v>0.76902685969776463</v>
      </c>
      <c r="Q29" s="231">
        <f>O29/K29</f>
        <v>0.80693146213026612</v>
      </c>
      <c r="R29" s="100">
        <f>M29-J29</f>
        <v>7413458.4182861187</v>
      </c>
      <c r="S29" s="100">
        <f>N29-K29</f>
        <v>5331060.0626579206</v>
      </c>
      <c r="T29" s="100">
        <f>N29-J29</f>
        <v>4848771.4427305199</v>
      </c>
      <c r="U29" s="98">
        <f>_xlfn.STDEV.P(O29,R29,S29,T29)</f>
        <v>1304820.0637919391</v>
      </c>
    </row>
    <row r="30" spans="1:21" x14ac:dyDescent="0.15">
      <c r="A30" s="224" t="s">
        <v>131</v>
      </c>
      <c r="B30" s="239">
        <v>0</v>
      </c>
      <c r="C30" s="394" t="s">
        <v>45</v>
      </c>
      <c r="D30" s="378" t="s">
        <v>29</v>
      </c>
      <c r="E30" s="395">
        <v>0</v>
      </c>
      <c r="F30" s="396">
        <v>1</v>
      </c>
      <c r="G30" s="396"/>
      <c r="H30" s="397">
        <f>LOOKUP(2,1/(ResolveSwagger!$A:$A=$A30)/(ResolveSwagger!$C:$C=$C30),(ResolveSwagger!F:F))</f>
        <v>2679982.6601851899</v>
      </c>
      <c r="I30" s="398">
        <f>LOOKUP(2,1/(ResolveSwagger!$A:$A=$A30)/(ResolveSwagger!$C:$C=$C30),(ResolveSwagger!G:G))</f>
        <v>2428673.4065217399</v>
      </c>
      <c r="J30" s="399">
        <f>H30*5*$B$1*$F30+$E30*$B$1</f>
        <v>13399913.30092595</v>
      </c>
      <c r="K30" s="400">
        <f>I30*5*$B$1*$F30+$E30*$B$1</f>
        <v>12143367.032608699</v>
      </c>
      <c r="L30" s="398">
        <f>J30-K30</f>
        <v>1256546.2683172505</v>
      </c>
      <c r="M30" s="399">
        <f>LOOKUP(2,1/(ResolveSwagger!$A:$A="PERFECT")/(ResolveSwagger!$C:$C=$C30),(ResolveSwagger!F:F))*$B$1</f>
        <v>21692982.921428598</v>
      </c>
      <c r="N30" s="401">
        <f>LOOKUP(2,1/(ResolveSwagger!$A:$A="PERFECT")/(ResolveSwagger!$C:$C=$C30),(ResolveSwagger!G:G))*$B$1</f>
        <v>20696278.978947401</v>
      </c>
      <c r="O30" s="244">
        <f>M30-K30</f>
        <v>9549615.8888198994</v>
      </c>
      <c r="P30" s="102">
        <f>O30/J30</f>
        <v>0.71266251313432083</v>
      </c>
      <c r="Q30" s="231">
        <f>O30/K30</f>
        <v>0.78640593364066369</v>
      </c>
      <c r="R30" s="100">
        <f>M30-J30</f>
        <v>8293069.6205026489</v>
      </c>
      <c r="S30" s="100">
        <f>N30-K30</f>
        <v>8552911.946338702</v>
      </c>
      <c r="T30" s="100">
        <f>N30-J30</f>
        <v>7296365.6780214515</v>
      </c>
      <c r="U30" s="98">
        <f>_xlfn.STDEV.P(O30,R30,S30,T30)</f>
        <v>801923.82328054868</v>
      </c>
    </row>
    <row r="31" spans="1:21" x14ac:dyDescent="0.15">
      <c r="A31" s="224" t="s">
        <v>131</v>
      </c>
      <c r="B31" s="239">
        <v>0</v>
      </c>
      <c r="C31" s="430" t="s">
        <v>37</v>
      </c>
      <c r="D31" s="422" t="s">
        <v>38</v>
      </c>
      <c r="E31" s="431">
        <v>0</v>
      </c>
      <c r="F31" s="432">
        <v>1</v>
      </c>
      <c r="G31" s="432"/>
      <c r="H31" s="433">
        <f>LOOKUP(2,1/(ResolveSwagger!$A:$A=$A31)/(ResolveSwagger!$C:$C=$C31),(ResolveSwagger!F:F))</f>
        <v>2067016.1491525399</v>
      </c>
      <c r="I31" s="434">
        <f>LOOKUP(2,1/(ResolveSwagger!$A:$A=$A31)/(ResolveSwagger!$C:$C=$C31),(ResolveSwagger!G:G))</f>
        <v>1658871.10615385</v>
      </c>
      <c r="J31" s="435">
        <f>H31*5*$B$1*$F31+$E31*$B$1</f>
        <v>10335080.7457627</v>
      </c>
      <c r="K31" s="436">
        <f>I31*5*$B$1*$F31+$E31*$B$1</f>
        <v>8294355.5307692494</v>
      </c>
      <c r="L31" s="434">
        <f>J31-K31</f>
        <v>2040725.2149934508</v>
      </c>
      <c r="M31" s="435">
        <f>LOOKUP(2,1/(ResolveSwagger!$A:$A="PERFECT")/(ResolveSwagger!$C:$C=$C31),(ResolveSwagger!F:F))*$B$1</f>
        <v>13525669.5</v>
      </c>
      <c r="N31" s="437">
        <f>LOOKUP(2,1/(ResolveSwagger!$A:$A="PERFECT")/(ResolveSwagger!$C:$C=$C31),(ResolveSwagger!G:G))*$B$1</f>
        <v>11546080.5583333</v>
      </c>
      <c r="O31" s="244">
        <f>M31-K31</f>
        <v>5231313.9692307506</v>
      </c>
      <c r="P31" s="102">
        <f>O31/J31</f>
        <v>0.50617059488147176</v>
      </c>
      <c r="Q31" s="231">
        <f>O31/K31</f>
        <v>0.63070770837159651</v>
      </c>
      <c r="R31" s="100">
        <f>M31-J31</f>
        <v>3190588.7542372998</v>
      </c>
      <c r="S31" s="100">
        <f>N31-K31</f>
        <v>3251725.0275640506</v>
      </c>
      <c r="T31" s="100">
        <f>N31-J31</f>
        <v>1210999.8125705998</v>
      </c>
      <c r="U31" s="98">
        <f>_xlfn.STDEV.P(O31,R31,S31,T31)</f>
        <v>1421560.0392771973</v>
      </c>
    </row>
    <row r="32" spans="1:21" x14ac:dyDescent="0.15">
      <c r="A32" s="224" t="s">
        <v>132</v>
      </c>
      <c r="B32" s="249">
        <v>0</v>
      </c>
      <c r="C32" s="411" t="s">
        <v>28</v>
      </c>
      <c r="D32" s="403" t="s">
        <v>29</v>
      </c>
      <c r="E32" s="412">
        <v>0</v>
      </c>
      <c r="F32" s="413">
        <v>6400</v>
      </c>
      <c r="G32" s="413">
        <v>320</v>
      </c>
      <c r="H32" s="414">
        <f>LOOKUP(2,1/(ResolveSwagger!$A:$A=$A32)/(ResolveSwagger!$C:$C=$C32),(ResolveSwagger!F:F))</f>
        <v>1559.6602158948699</v>
      </c>
      <c r="I32" s="415">
        <f>LOOKUP(2,1/(ResolveSwagger!$A:$A=$A32)/(ResolveSwagger!$C:$C=$C32),(ResolveSwagger!G:G))</f>
        <v>284.86182736812299</v>
      </c>
      <c r="J32" s="416">
        <f>H32*5*$B$1*$F32+$E32*$B$1</f>
        <v>49909126.90863584</v>
      </c>
      <c r="K32" s="417">
        <f>I32*5*$B$1*$F32+$E32*$B$1</f>
        <v>9115578.4757799357</v>
      </c>
      <c r="L32" s="415">
        <f>J32-K32</f>
        <v>40793548.432855904</v>
      </c>
      <c r="M32" s="416">
        <f>LOOKUP(2,1/(ResolveSwagger!$A:$A="PERFECT")/(ResolveSwagger!$C:$C=$C32),(ResolveSwagger!F:F))*$B$1</f>
        <v>13602081.847619001</v>
      </c>
      <c r="N32" s="418">
        <f>LOOKUP(2,1/(ResolveSwagger!$A:$A="PERFECT")/(ResolveSwagger!$C:$C=$C32),(ResolveSwagger!G:G))*$B$1</f>
        <v>11977926.990625</v>
      </c>
      <c r="O32" s="254">
        <f>M32-K32</f>
        <v>4486503.3718390651</v>
      </c>
      <c r="P32" s="102">
        <f>O32/J32</f>
        <v>8.9893445342213746E-2</v>
      </c>
      <c r="Q32" s="231">
        <f>O32/K32</f>
        <v>0.49217977594726336</v>
      </c>
      <c r="R32" s="100">
        <f>M32-J32</f>
        <v>-36307045.061016843</v>
      </c>
      <c r="S32" s="100">
        <f>N32-K32</f>
        <v>2862348.5148450639</v>
      </c>
      <c r="T32" s="100">
        <f>N32-J32</f>
        <v>-37931199.918010838</v>
      </c>
      <c r="U32" s="98">
        <f>_xlfn.STDEV.P(O32,R32,S32,T32)</f>
        <v>20412933.845623817</v>
      </c>
    </row>
    <row r="33" spans="1:21" x14ac:dyDescent="0.15">
      <c r="A33" s="224" t="s">
        <v>132</v>
      </c>
      <c r="B33" s="249">
        <v>0</v>
      </c>
      <c r="C33" s="438" t="s">
        <v>37</v>
      </c>
      <c r="D33" s="422" t="s">
        <v>38</v>
      </c>
      <c r="E33" s="439">
        <v>0</v>
      </c>
      <c r="F33" s="440">
        <v>6400</v>
      </c>
      <c r="G33" s="440">
        <v>320</v>
      </c>
      <c r="H33" s="441">
        <f>LOOKUP(2,1/(ResolveSwagger!$A:$A=$A33)/(ResolveSwagger!$C:$C=$C33),(ResolveSwagger!F:F))</f>
        <v>399.94314445096899</v>
      </c>
      <c r="I33" s="442">
        <f>LOOKUP(2,1/(ResolveSwagger!$A:$A=$A33)/(ResolveSwagger!$C:$C=$C33),(ResolveSwagger!G:G))</f>
        <v>291.43301498004797</v>
      </c>
      <c r="J33" s="443">
        <f>H33*5*$B$1*$F33+$E33*$B$1</f>
        <v>12798180.622431006</v>
      </c>
      <c r="K33" s="444">
        <f>I33*5*$B$1*$F33+$E33*$B$1</f>
        <v>9325856.479361536</v>
      </c>
      <c r="L33" s="442">
        <f>J33-K33</f>
        <v>3472324.1430694703</v>
      </c>
      <c r="M33" s="443">
        <f>LOOKUP(2,1/(ResolveSwagger!$A:$A="PERFECT")/(ResolveSwagger!$C:$C=$C33),(ResolveSwagger!F:F))*$B$1</f>
        <v>13525669.5</v>
      </c>
      <c r="N33" s="445">
        <f>LOOKUP(2,1/(ResolveSwagger!$A:$A="PERFECT")/(ResolveSwagger!$C:$C=$C33),(ResolveSwagger!G:G))*$B$1</f>
        <v>11546080.5583333</v>
      </c>
      <c r="O33" s="254">
        <f>M33-K33</f>
        <v>4199813.020638464</v>
      </c>
      <c r="P33" s="102">
        <f>O33/J33</f>
        <v>0.32815703610852087</v>
      </c>
      <c r="Q33" s="231">
        <f>O33/K33</f>
        <v>0.45034073062702656</v>
      </c>
      <c r="R33" s="100">
        <f>M33-J33</f>
        <v>727488.87756899372</v>
      </c>
      <c r="S33" s="100">
        <f>N33-K33</f>
        <v>2220224.0789717641</v>
      </c>
      <c r="T33" s="100">
        <f>N33-J33</f>
        <v>-1252100.0640977062</v>
      </c>
      <c r="U33" s="98">
        <f>_xlfn.STDEV.P(O33,R33,S33,T33)</f>
        <v>1998487.3862819485</v>
      </c>
    </row>
    <row r="34" spans="1:21" x14ac:dyDescent="0.15">
      <c r="A34" s="224" t="s">
        <v>133</v>
      </c>
      <c r="B34" s="233">
        <v>0</v>
      </c>
      <c r="C34" s="460" t="s">
        <v>28</v>
      </c>
      <c r="D34" s="403" t="s">
        <v>29</v>
      </c>
      <c r="E34" s="461">
        <v>0</v>
      </c>
      <c r="F34" s="462">
        <v>80</v>
      </c>
      <c r="G34" s="462">
        <v>25600</v>
      </c>
      <c r="H34" s="463">
        <f>LOOKUP(2,1/(ResolveSwagger!$A:$A=$A34)/(ResolveSwagger!$C:$C=$C34),(ResolveSwagger!F:F))</f>
        <v>29228.189965397902</v>
      </c>
      <c r="I34" s="464">
        <f>LOOKUP(2,1/(ResolveSwagger!$A:$A=$A34)/(ResolveSwagger!$C:$C=$C34),(ResolveSwagger!G:G))</f>
        <v>24786.475269883202</v>
      </c>
      <c r="J34" s="419">
        <f>H34*5*$B$1*$F34+$E34*$B$1</f>
        <v>11691275.986159161</v>
      </c>
      <c r="K34" s="420">
        <f>I34*5*$B$1*$F34+$E34*$B$1</f>
        <v>9914590.1079532802</v>
      </c>
      <c r="L34" s="464">
        <f>J34-K34</f>
        <v>1776685.8782058805</v>
      </c>
      <c r="M34" s="419">
        <f>LOOKUP(2,1/(ResolveSwagger!$A:$A="PERFECT")/(ResolveSwagger!$C:$C=$C34),(ResolveSwagger!F:F))*$B$1</f>
        <v>13602081.847619001</v>
      </c>
      <c r="N34" s="465">
        <f>LOOKUP(2,1/(ResolveSwagger!$A:$A="PERFECT")/(ResolveSwagger!$C:$C=$C34),(ResolveSwagger!G:G))*$B$1</f>
        <v>11977926.990625</v>
      </c>
      <c r="O34" s="238">
        <f>M34-K34</f>
        <v>3687491.7396657206</v>
      </c>
      <c r="P34" s="102">
        <f>O34/J34</f>
        <v>0.31540541374878123</v>
      </c>
      <c r="Q34" s="231">
        <f>O34/K34</f>
        <v>0.37192578810773941</v>
      </c>
      <c r="R34" s="100">
        <f>M34-J34</f>
        <v>1910805.8614598401</v>
      </c>
      <c r="S34" s="100">
        <f>N34-K34</f>
        <v>2063336.8826717194</v>
      </c>
      <c r="T34" s="100">
        <f>N34-J34</f>
        <v>286651.00446583889</v>
      </c>
      <c r="U34" s="98">
        <f>_xlfn.STDEV.P(O34,R34,S34,T34)</f>
        <v>1203587.5237507038</v>
      </c>
    </row>
    <row r="35" spans="1:21" x14ac:dyDescent="0.15">
      <c r="A35" s="224" t="s">
        <v>133</v>
      </c>
      <c r="B35" s="233">
        <v>0</v>
      </c>
      <c r="C35" s="421" t="s">
        <v>37</v>
      </c>
      <c r="D35" s="422" t="s">
        <v>38</v>
      </c>
      <c r="E35" s="423">
        <v>0</v>
      </c>
      <c r="F35" s="424">
        <v>80</v>
      </c>
      <c r="G35" s="424">
        <v>25600</v>
      </c>
      <c r="H35" s="425">
        <f>LOOKUP(2,1/(ResolveSwagger!$A:$A=$A35)/(ResolveSwagger!$C:$C=$C35),(ResolveSwagger!F:F))</f>
        <v>25694.584910762602</v>
      </c>
      <c r="I35" s="426">
        <f>LOOKUP(2,1/(ResolveSwagger!$A:$A=$A35)/(ResolveSwagger!$C:$C=$C35),(ResolveSwagger!G:G))</f>
        <v>24806.6</v>
      </c>
      <c r="J35" s="427">
        <f>H35*5*$B$1*$F35+$E35*$B$1</f>
        <v>10277833.964305039</v>
      </c>
      <c r="K35" s="428">
        <f>I35*5*$B$1*$F35+$E35*$B$1</f>
        <v>9922640</v>
      </c>
      <c r="L35" s="426">
        <f>J35-K35</f>
        <v>355193.9643050395</v>
      </c>
      <c r="M35" s="427">
        <f>LOOKUP(2,1/(ResolveSwagger!$A:$A="PERFECT")/(ResolveSwagger!$C:$C=$C35),(ResolveSwagger!F:F))*$B$1</f>
        <v>13525669.5</v>
      </c>
      <c r="N35" s="429">
        <f>LOOKUP(2,1/(ResolveSwagger!$A:$A="PERFECT")/(ResolveSwagger!$C:$C=$C35),(ResolveSwagger!G:G))*$B$1</f>
        <v>11546080.5583333</v>
      </c>
      <c r="O35" s="238">
        <f>M35-K35</f>
        <v>3603029.5</v>
      </c>
      <c r="P35" s="102">
        <f>O35/J35</f>
        <v>0.3505631159749551</v>
      </c>
      <c r="Q35" s="231">
        <f>O35/K35</f>
        <v>0.36311198431062702</v>
      </c>
      <c r="R35" s="100">
        <f>M35-J35</f>
        <v>3247835.5356949605</v>
      </c>
      <c r="S35" s="100">
        <f>N35-K35</f>
        <v>1623440.5583333001</v>
      </c>
      <c r="T35" s="100">
        <f>N35-J35</f>
        <v>1268246.5940282606</v>
      </c>
      <c r="U35" s="98">
        <f>_xlfn.STDEV.P(O35,R35,S35,T35)</f>
        <v>1005601.2045348564</v>
      </c>
    </row>
    <row r="36" spans="1:21" x14ac:dyDescent="0.15">
      <c r="A36" s="224" t="s">
        <v>132</v>
      </c>
      <c r="B36" s="249">
        <v>-1</v>
      </c>
      <c r="C36" s="249" t="s">
        <v>20</v>
      </c>
      <c r="D36" s="300" t="s">
        <v>21</v>
      </c>
      <c r="E36" s="446">
        <v>0</v>
      </c>
      <c r="F36" s="447">
        <v>6400</v>
      </c>
      <c r="G36" s="447">
        <v>240</v>
      </c>
      <c r="H36" s="448">
        <f>LOOKUP(2,1/(ResolveSwagger!$A:$A=$A36)/(ResolveSwagger!$C:$C=$C36),(ResolveSwagger!F:F))</f>
        <v>999.2</v>
      </c>
      <c r="I36" s="449">
        <f>LOOKUP(2,1/(ResolveSwagger!$A:$A=$A36)/(ResolveSwagger!$C:$C=$C36),(ResolveSwagger!G:G))</f>
        <v>278.10000000000002</v>
      </c>
      <c r="J36" s="296">
        <f>H36*5*$B$1*$F36+$E36*$B$1</f>
        <v>31974400</v>
      </c>
      <c r="K36" s="297">
        <f>I36*5*$B$1*$F36+$E36*$B$1</f>
        <v>8899200</v>
      </c>
      <c r="L36" s="449">
        <f>J36-K36</f>
        <v>23075200</v>
      </c>
      <c r="M36" s="296">
        <f>LOOKUP(2,1/(ResolveSwagger!$A:$A="PERFECT")/(ResolveSwagger!$C:$C=$C36),(ResolveSwagger!F:F))*$B$1</f>
        <v>13202096.48</v>
      </c>
      <c r="N36" s="450">
        <f>LOOKUP(2,1/(ResolveSwagger!$A:$A="PERFECT")/(ResolveSwagger!$C:$C=$C36),(ResolveSwagger!G:G))*$B$1</f>
        <v>10521028.720454499</v>
      </c>
      <c r="O36" s="254">
        <f>M36-K36</f>
        <v>4302896.4800000004</v>
      </c>
      <c r="P36" s="102">
        <f>O36/J36</f>
        <v>0.13457317353883108</v>
      </c>
      <c r="Q36" s="231">
        <f>O36/K36</f>
        <v>0.48351497662711262</v>
      </c>
      <c r="R36" s="100">
        <f>M36-J36</f>
        <v>-18772303.52</v>
      </c>
      <c r="S36" s="100">
        <f>N36-K36</f>
        <v>1621828.7204544991</v>
      </c>
      <c r="T36" s="100">
        <f>N36-J36</f>
        <v>-21453371.279545501</v>
      </c>
      <c r="U36" s="98">
        <f>_xlfn.STDEV.P(O36,R36,S36,T36)</f>
        <v>11615216.091094412</v>
      </c>
    </row>
    <row r="37" spans="1:21" x14ac:dyDescent="0.15">
      <c r="A37" s="224" t="s">
        <v>133</v>
      </c>
      <c r="B37" s="233">
        <v>-1</v>
      </c>
      <c r="C37" s="233" t="s">
        <v>20</v>
      </c>
      <c r="D37" s="300" t="s">
        <v>21</v>
      </c>
      <c r="E37" s="470">
        <v>0</v>
      </c>
      <c r="F37" s="471">
        <v>80</v>
      </c>
      <c r="G37" s="471">
        <v>19200</v>
      </c>
      <c r="H37" s="472">
        <f>LOOKUP(2,1/(ResolveSwagger!$A:$A=$A37)/(ResolveSwagger!$C:$C=$C37),(ResolveSwagger!F:F))</f>
        <v>28059.746003898599</v>
      </c>
      <c r="I37" s="473">
        <f>LOOKUP(2,1/(ResolveSwagger!$A:$A=$A37)/(ResolveSwagger!$C:$C=$C37),(ResolveSwagger!G:G))</f>
        <v>22507</v>
      </c>
      <c r="J37" s="298">
        <f>H37*5*$B$1*$F37+$E37*$B$1</f>
        <v>11223898.40155944</v>
      </c>
      <c r="K37" s="299">
        <f>I37*5*$B$1*$F37+$E37*$B$1</f>
        <v>9002800</v>
      </c>
      <c r="L37" s="473">
        <f>J37-K37</f>
        <v>2221098.4015594404</v>
      </c>
      <c r="M37" s="298">
        <f>LOOKUP(2,1/(ResolveSwagger!$A:$A="PERFECT")/(ResolveSwagger!$C:$C=$C37),(ResolveSwagger!F:F))*$B$1</f>
        <v>13202096.48</v>
      </c>
      <c r="N37" s="474">
        <f>LOOKUP(2,1/(ResolveSwagger!$A:$A="PERFECT")/(ResolveSwagger!$C:$C=$C37),(ResolveSwagger!G:G))*$B$1</f>
        <v>10521028.720454499</v>
      </c>
      <c r="O37" s="238">
        <f>M37-K37</f>
        <v>4199296.4800000004</v>
      </c>
      <c r="P37" s="102">
        <f>O37/J37</f>
        <v>0.37413885352138909</v>
      </c>
      <c r="Q37" s="231">
        <f>O37/K37</f>
        <v>0.46644338205891506</v>
      </c>
      <c r="R37" s="100">
        <f>M37-J37</f>
        <v>1978198.07844056</v>
      </c>
      <c r="S37" s="100">
        <f>N37-K37</f>
        <v>1518228.7204544991</v>
      </c>
      <c r="T37" s="100">
        <f>N37-J37</f>
        <v>-702869.68110494129</v>
      </c>
      <c r="U37" s="98">
        <f>_xlfn.STDEV.P(O37,R37,S37,T37)</f>
        <v>1740790.2257799644</v>
      </c>
    </row>
    <row r="38" spans="1:21" ht="14.25" thickBot="1" x14ac:dyDescent="0.2">
      <c r="A38" s="301" t="s">
        <v>131</v>
      </c>
      <c r="B38" s="476">
        <v>-1</v>
      </c>
      <c r="C38" s="476" t="s">
        <v>20</v>
      </c>
      <c r="D38" s="478" t="s">
        <v>21</v>
      </c>
      <c r="E38" s="480">
        <v>0</v>
      </c>
      <c r="F38" s="482">
        <v>1</v>
      </c>
      <c r="G38" s="482"/>
      <c r="H38" s="484">
        <f>LOOKUP(2,1/(ResolveSwagger!$A:$A=$A38)/(ResolveSwagger!$C:$C=$C38),(ResolveSwagger!F:F))</f>
        <v>2453418.1949999998</v>
      </c>
      <c r="I38" s="99">
        <f>LOOKUP(2,1/(ResolveSwagger!$A:$A=$A38)/(ResolveSwagger!$C:$C=$C38),(ResolveSwagger!G:G))</f>
        <v>2127624.7552941199</v>
      </c>
      <c r="J38" s="296">
        <f>H38*5*$B$1*$F38+$E38*$B$1</f>
        <v>12267090.975</v>
      </c>
      <c r="K38" s="232">
        <f>I38*5*$B$1*$F38+$E38*$B$1</f>
        <v>10638123.7764706</v>
      </c>
      <c r="L38" s="99">
        <f>J38-K38</f>
        <v>1628967.1985293999</v>
      </c>
      <c r="M38" s="486">
        <f>LOOKUP(2,1/(ResolveSwagger!$A:$A="PERFECT")/(ResolveSwagger!$C:$C=$C38),(ResolveSwagger!F:F))*$B$1</f>
        <v>13202096.48</v>
      </c>
      <c r="N38" s="488">
        <f>LOOKUP(2,1/(ResolveSwagger!$A:$A="PERFECT")/(ResolveSwagger!$C:$C=$C38),(ResolveSwagger!G:G))*$B$1</f>
        <v>10521028.720454499</v>
      </c>
      <c r="O38" s="490">
        <f>M38-K38</f>
        <v>2563972.7035294008</v>
      </c>
      <c r="P38" s="103">
        <f>O38/J38</f>
        <v>0.20901228406593772</v>
      </c>
      <c r="Q38" s="302">
        <f>O38/K38</f>
        <v>0.24101737838399617</v>
      </c>
      <c r="R38" s="101">
        <f>M38-J38</f>
        <v>935005.50500000082</v>
      </c>
      <c r="S38" s="101">
        <f>N38-K38</f>
        <v>-117095.05601610057</v>
      </c>
      <c r="T38" s="101">
        <f>N38-J38</f>
        <v>-1746062.2545455005</v>
      </c>
      <c r="U38" s="99">
        <f>_xlfn.STDEV.P(O38,R38,S38,T38)</f>
        <v>1568570.8834125935</v>
      </c>
    </row>
  </sheetData>
  <autoFilter ref="A2:U38" xr:uid="{F7A67DD3-2D3E-4407-8222-B7FCD682D63B}">
    <sortState xmlns:xlrd2="http://schemas.microsoft.com/office/spreadsheetml/2017/richdata2" ref="A3:U38">
      <sortCondition descending="1" ref="B2:B38"/>
    </sortState>
  </autoFilter>
  <phoneticPr fontId="24" type="noConversion"/>
  <conditionalFormatting sqref="B3:B3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3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{018F9013-D761-4AA8-A1A2-89937BDD217E}</x14:id>
        </ext>
      </extLst>
    </cfRule>
  </conditionalFormatting>
  <conditionalFormatting sqref="L3:L38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{DA3456C2-5E1D-45EE-89F7-82DDC9019628}</x14:id>
        </ext>
      </extLst>
    </cfRule>
  </conditionalFormatting>
  <conditionalFormatting sqref="M3:N3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{9D2C42E3-E0C7-4EB9-B543-0D8E0641FABA}</x14:id>
        </ext>
      </extLst>
    </cfRule>
  </conditionalFormatting>
  <conditionalFormatting sqref="O3:O38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{190CD09E-5E9E-431E-A661-8518CD2B7119}</x14:id>
        </ext>
      </extLst>
    </cfRule>
  </conditionalFormatting>
  <conditionalFormatting sqref="P3:Q38">
    <cfRule type="top10" dxfId="10" priority="2" rank="10"/>
    <cfRule type="aboveAverage" dxfId="9" priority="3"/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{6C2057FC-5306-4215-B074-86DCB48F657D}</x14:id>
        </ext>
      </extLst>
    </cfRule>
    <cfRule type="aboveAverage" dxfId="8" priority="5"/>
    <cfRule type="colorScale" priority="16">
      <colorScale>
        <cfvo type="min"/>
        <cfvo type="max"/>
        <color rgb="FFFCFCFF"/>
        <color rgb="FF63BE7B"/>
      </colorScale>
    </cfRule>
  </conditionalFormatting>
  <conditionalFormatting sqref="R3:S3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{9184AE2B-F91E-46A2-B1BC-EAA06B4C5011}</x14:id>
        </ext>
      </extLst>
    </cfRule>
  </conditionalFormatting>
  <conditionalFormatting sqref="R3:T3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{B898B540-A327-4AA2-A46B-2AD444A9F89A}</x14:id>
        </ext>
      </extLst>
    </cfRule>
  </conditionalFormatting>
  <conditionalFormatting sqref="T3:T38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{3068F478-B78F-403A-9E87-9C086E8D336E}</x14:id>
        </ext>
      </extLst>
    </cfRule>
  </conditionalFormatting>
  <conditionalFormatting sqref="U3:U38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8F9013-D761-4AA8-A1A2-89937BDD21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J3:K38</xm:sqref>
        </x14:conditionalFormatting>
        <x14:conditionalFormatting xmlns:xm="http://schemas.microsoft.com/office/excel/2006/main">
          <x14:cfRule type="dataBar" id="{DA3456C2-5E1D-45EE-89F7-82DDC90196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L3:L38</xm:sqref>
        </x14:conditionalFormatting>
        <x14:conditionalFormatting xmlns:xm="http://schemas.microsoft.com/office/excel/2006/main">
          <x14:cfRule type="dataBar" id="{9D2C42E3-E0C7-4EB9-B543-0D8E0641F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M3:N38</xm:sqref>
        </x14:conditionalFormatting>
        <x14:conditionalFormatting xmlns:xm="http://schemas.microsoft.com/office/excel/2006/main">
          <x14:cfRule type="dataBar" id="{190CD09E-5E9E-431E-A661-8518CD2B71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O3:O38</xm:sqref>
        </x14:conditionalFormatting>
        <x14:conditionalFormatting xmlns:xm="http://schemas.microsoft.com/office/excel/2006/main">
          <x14:cfRule type="dataBar" id="{6C2057FC-5306-4215-B074-86DCB48F6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P3:Q38</xm:sqref>
        </x14:conditionalFormatting>
        <x14:conditionalFormatting xmlns:xm="http://schemas.microsoft.com/office/excel/2006/main">
          <x14:cfRule type="dataBar" id="{9184AE2B-F91E-46A2-B1BC-EAA06B4C50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R3:S38</xm:sqref>
        </x14:conditionalFormatting>
        <x14:conditionalFormatting xmlns:xm="http://schemas.microsoft.com/office/excel/2006/main">
          <x14:cfRule type="dataBar" id="{B898B540-A327-4AA2-A46B-2AD444A9F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R3:T38</xm:sqref>
        </x14:conditionalFormatting>
        <x14:conditionalFormatting xmlns:xm="http://schemas.microsoft.com/office/excel/2006/main">
          <x14:cfRule type="dataBar" id="{3068F478-B78F-403A-9E87-9C086E8D33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T3:T38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5"/>
  <sheetViews>
    <sheetView topLeftCell="A13" workbookViewId="0">
      <selection activeCell="C1" sqref="C1"/>
    </sheetView>
  </sheetViews>
  <sheetFormatPr defaultColWidth="9" defaultRowHeight="13.5" x14ac:dyDescent="0.15"/>
  <cols>
    <col min="2" max="2" width="13.875" bestFit="1" customWidth="1"/>
    <col min="3" max="3" width="23.875" bestFit="1" customWidth="1"/>
    <col min="4" max="4" width="21.625" bestFit="1" customWidth="1"/>
    <col min="5" max="5" width="15" bestFit="1" customWidth="1"/>
    <col min="6" max="6" width="21.625" customWidth="1"/>
    <col min="7" max="8" width="13.875" bestFit="1" customWidth="1"/>
    <col min="9" max="9" width="17" bestFit="1" customWidth="1"/>
    <col min="10" max="10" width="18.25" bestFit="1" customWidth="1"/>
    <col min="11" max="11" width="4.125" customWidth="1"/>
    <col min="12" max="12" width="28.25" customWidth="1"/>
    <col min="13" max="13" width="26.125" customWidth="1"/>
  </cols>
  <sheetData>
    <row r="1" spans="2:12" x14ac:dyDescent="0.15">
      <c r="B1" s="28" t="s">
        <v>0</v>
      </c>
      <c r="C1" s="28" t="s">
        <v>1</v>
      </c>
      <c r="D1" s="28"/>
      <c r="F1" s="28"/>
    </row>
    <row r="2" spans="2:12" ht="14.25" thickBot="1" x14ac:dyDescent="0.2"/>
    <row r="3" spans="2:12" x14ac:dyDescent="0.15">
      <c r="B3" s="123"/>
      <c r="C3" s="124"/>
      <c r="D3" s="125" t="s">
        <v>2</v>
      </c>
      <c r="E3" s="125" t="s">
        <v>3</v>
      </c>
      <c r="F3" s="135" t="s">
        <v>157</v>
      </c>
      <c r="G3" s="125" t="s">
        <v>4</v>
      </c>
      <c r="H3" s="125" t="s">
        <v>5</v>
      </c>
      <c r="I3" s="125" t="s">
        <v>6</v>
      </c>
      <c r="J3" s="125" t="s">
        <v>7</v>
      </c>
      <c r="K3" s="125" t="s">
        <v>8</v>
      </c>
      <c r="L3" s="126" t="s">
        <v>9</v>
      </c>
    </row>
    <row r="4" spans="2:12" x14ac:dyDescent="0.15">
      <c r="B4" s="117" t="s">
        <v>10</v>
      </c>
      <c r="C4" s="33" t="str">
        <f>_xlfn.CONCAT(B4,"_",$C$1,"_GEM")</f>
        <v>ROUGH_TOPAZ_GEM</v>
      </c>
      <c r="D4" s="137">
        <f>LOOKUP(2,1/(ResolveSwagger!$A:$A=$B4)/(ResolveSwagger!$C:$C=$C$1),(ResolveSwagger!F:F))</f>
        <v>5.6340713738258001</v>
      </c>
      <c r="E4" s="137">
        <f>LOOKUP(2,1/(ResolveSwagger!$A:$A=$B4)/(ResolveSwagger!$C:$C=$C$1),(ResolveSwagger!G:G))</f>
        <v>1</v>
      </c>
      <c r="F4" s="35">
        <v>0</v>
      </c>
      <c r="G4" s="127">
        <f>LOOKUP(2,1/(ResolveSwagger!$A:$A=$B4)/(ResolveSwagger!$C:$C=$C$1),(ResolveSwagger!H:H))</f>
        <v>14150932</v>
      </c>
      <c r="H4" s="127">
        <f>LOOKUP(2,1/(ResolveSwagger!$A:$A=$B4)/(ResolveSwagger!$C:$C=$C$1),(ResolveSwagger!I:I))</f>
        <v>1999182</v>
      </c>
      <c r="I4" s="127">
        <f>LOOKUP(2,1/(ResolveSwagger!$A:$A=$B4)/(ResolveSwagger!$C:$C=$C$1),(ResolveSwagger!J:J))</f>
        <v>1232977</v>
      </c>
      <c r="J4" s="127">
        <f>LOOKUP(2,1/(ResolveSwagger!$A:$A=$B4)/(ResolveSwagger!$C:$C=$C$1),(ResolveSwagger!K:K))</f>
        <v>285226788</v>
      </c>
      <c r="K4" s="27">
        <f>LOOKUP(2,1/(ResolveSwagger!$A:$A=$B4)/(ResolveSwagger!$C:$C=$C$1),(ResolveSwagger!L:L))</f>
        <v>46305.562068788582</v>
      </c>
      <c r="L4" s="118" t="str">
        <f>LOOKUP(2,1/(ResolveSwagger!$A:$A=$B4)/(ResolveSwagger!$C:$C=$C$1),(ResolveSwagger!M:M))</f>
        <v>2026-10-10 21:29:23</v>
      </c>
    </row>
    <row r="5" spans="2:12" x14ac:dyDescent="0.15">
      <c r="B5" s="149" t="s">
        <v>11</v>
      </c>
      <c r="C5" s="33" t="str">
        <f t="shared" ref="C5:C8" si="0">_xlfn.CONCAT(B5,"_",$C$1,"_GEM")</f>
        <v>FLAWED_TOPAZ_GEM</v>
      </c>
      <c r="D5" s="137">
        <f>LOOKUP(2,1/(ResolveSwagger!$A:$A=$B5)/(ResolveSwagger!$C:$C=$C$1),(ResolveSwagger!F:F))</f>
        <v>804.69976359338102</v>
      </c>
      <c r="E5" s="137">
        <f>LOOKUP(2,1/(ResolveSwagger!$A:$A=$B5)/(ResolveSwagger!$C:$C=$C$1),(ResolveSwagger!G:G))</f>
        <v>333.78946672351202</v>
      </c>
      <c r="F5" s="35">
        <v>300</v>
      </c>
      <c r="G5" s="127">
        <f>LOOKUP(2,1/(ResolveSwagger!$A:$A=$B5)/(ResolveSwagger!$C:$C=$C$1),(ResolveSwagger!H:H))</f>
        <v>10791</v>
      </c>
      <c r="H5" s="127">
        <f>LOOKUP(2,1/(ResolveSwagger!$A:$A=$B5)/(ResolveSwagger!$C:$C=$C$1),(ResolveSwagger!I:I))</f>
        <v>11006877</v>
      </c>
      <c r="I5" s="127">
        <f>LOOKUP(2,1/(ResolveSwagger!$A:$A=$B5)/(ResolveSwagger!$C:$C=$C$1),(ResolveSwagger!J:J))</f>
        <v>18288</v>
      </c>
      <c r="J5" s="127">
        <f>LOOKUP(2,1/(ResolveSwagger!$A:$A=$B5)/(ResolveSwagger!$C:$C=$C$1),(ResolveSwagger!K:K))</f>
        <v>19333086</v>
      </c>
      <c r="K5" s="27">
        <f>LOOKUP(2,1/(ResolveSwagger!$A:$A=$B5)/(ResolveSwagger!$C:$C=$C$1),(ResolveSwagger!L:L))</f>
        <v>46305.562068788582</v>
      </c>
      <c r="L5" s="118" t="str">
        <f>LOOKUP(2,1/(ResolveSwagger!$A:$A=$B5)/(ResolveSwagger!$C:$C=$C$1),(ResolveSwagger!M:M))</f>
        <v>2026-10-10 21:29:23</v>
      </c>
    </row>
    <row r="6" spans="2:12" x14ac:dyDescent="0.15">
      <c r="B6" s="148" t="s">
        <v>12</v>
      </c>
      <c r="C6" s="33" t="str">
        <f t="shared" si="0"/>
        <v>FINE_TOPAZ_GEM</v>
      </c>
      <c r="D6" s="137">
        <f>LOOKUP(2,1/(ResolveSwagger!$A:$A=$B6)/(ResolveSwagger!$C:$C=$C$1),(ResolveSwagger!F:F))</f>
        <v>30607.4498693276</v>
      </c>
      <c r="E6" s="137">
        <f>LOOKUP(2,1/(ResolveSwagger!$A:$A=$B6)/(ResolveSwagger!$C:$C=$C$1),(ResolveSwagger!G:G))</f>
        <v>29500.068856383001</v>
      </c>
      <c r="F6" s="35">
        <v>0</v>
      </c>
      <c r="G6" s="127">
        <f>LOOKUP(2,1/(ResolveSwagger!$A:$A=$B6)/(ResolveSwagger!$C:$C=$C$1),(ResolveSwagger!H:H))</f>
        <v>192351</v>
      </c>
      <c r="H6" s="127">
        <f>LOOKUP(2,1/(ResolveSwagger!$A:$A=$B6)/(ResolveSwagger!$C:$C=$C$1),(ResolveSwagger!I:I))</f>
        <v>333628</v>
      </c>
      <c r="I6" s="127">
        <f>LOOKUP(2,1/(ResolveSwagger!$A:$A=$B6)/(ResolveSwagger!$C:$C=$C$1),(ResolveSwagger!J:J))</f>
        <v>117621</v>
      </c>
      <c r="J6" s="127">
        <f>LOOKUP(2,1/(ResolveSwagger!$A:$A=$B6)/(ResolveSwagger!$C:$C=$C$1),(ResolveSwagger!K:K))</f>
        <v>596289</v>
      </c>
      <c r="K6" s="27">
        <f>LOOKUP(2,1/(ResolveSwagger!$A:$A=$B6)/(ResolveSwagger!$C:$C=$C$1),(ResolveSwagger!L:L))</f>
        <v>46305.562068788582</v>
      </c>
      <c r="L6" s="118" t="str">
        <f>LOOKUP(2,1/(ResolveSwagger!$A:$A=$B6)/(ResolveSwagger!$C:$C=$C$1),(ResolveSwagger!M:M))</f>
        <v>2026-10-10 21:29:23</v>
      </c>
    </row>
    <row r="7" spans="2:12" x14ac:dyDescent="0.15">
      <c r="B7" s="150" t="s">
        <v>13</v>
      </c>
      <c r="C7" s="33" t="str">
        <f t="shared" si="0"/>
        <v>FLAWLESS_TOPAZ_GEM</v>
      </c>
      <c r="D7" s="137">
        <f>LOOKUP(2,1/(ResolveSwagger!$A:$A=$B7)/(ResolveSwagger!$C:$C=$C$1),(ResolveSwagger!F:F))</f>
        <v>2468588.7999999998</v>
      </c>
      <c r="E7" s="137">
        <f>LOOKUP(2,1/(ResolveSwagger!$A:$A=$B7)/(ResolveSwagger!$C:$C=$C$1),(ResolveSwagger!G:G))</f>
        <v>2265555.0222857101</v>
      </c>
      <c r="F7" s="35">
        <v>0</v>
      </c>
      <c r="G7" s="127">
        <f>LOOKUP(2,1/(ResolveSwagger!$A:$A=$B7)/(ResolveSwagger!$C:$C=$C$1),(ResolveSwagger!H:H))</f>
        <v>19</v>
      </c>
      <c r="H7" s="127">
        <f>LOOKUP(2,1/(ResolveSwagger!$A:$A=$B7)/(ResolveSwagger!$C:$C=$C$1),(ResolveSwagger!I:I))</f>
        <v>6465</v>
      </c>
      <c r="I7" s="127">
        <f>LOOKUP(2,1/(ResolveSwagger!$A:$A=$B7)/(ResolveSwagger!$C:$C=$C$1),(ResolveSwagger!J:J))</f>
        <v>7230</v>
      </c>
      <c r="J7" s="127">
        <f>LOOKUP(2,1/(ResolveSwagger!$A:$A=$B7)/(ResolveSwagger!$C:$C=$C$1),(ResolveSwagger!K:K))</f>
        <v>3973</v>
      </c>
      <c r="K7" s="27">
        <f>LOOKUP(2,1/(ResolveSwagger!$A:$A=$B7)/(ResolveSwagger!$C:$C=$C$1),(ResolveSwagger!L:L))</f>
        <v>46305.562068788582</v>
      </c>
      <c r="L7" s="118" t="str">
        <f>LOOKUP(2,1/(ResolveSwagger!$A:$A=$B7)/(ResolveSwagger!$C:$C=$C$1),(ResolveSwagger!M:M))</f>
        <v>2026-10-10 21:29:23</v>
      </c>
    </row>
    <row r="8" spans="2:12" ht="14.25" thickBot="1" x14ac:dyDescent="0.2">
      <c r="B8" s="151" t="s">
        <v>14</v>
      </c>
      <c r="C8" s="128" t="str">
        <f t="shared" si="0"/>
        <v>PERFECT_TOPAZ_GEM</v>
      </c>
      <c r="D8" s="138">
        <f>LOOKUP(2,1/(ResolveSwagger!$A:$A=$B8)/(ResolveSwagger!$C:$C=$C$1),(ResolveSwagger!F:F))</f>
        <v>16144143</v>
      </c>
      <c r="E8" s="138">
        <f>LOOKUP(2,1/(ResolveSwagger!$A:$A=$B8)/(ResolveSwagger!$C:$C=$C$1),(ResolveSwagger!G:G))</f>
        <v>14458824.1133333</v>
      </c>
      <c r="F8" s="129">
        <v>11000000</v>
      </c>
      <c r="G8" s="130">
        <f>LOOKUP(2,1/(ResolveSwagger!$A:$A=$B8)/(ResolveSwagger!$C:$C=$C$1),(ResolveSwagger!H:H))</f>
        <v>401</v>
      </c>
      <c r="H8" s="130">
        <f>LOOKUP(2,1/(ResolveSwagger!$A:$A=$B8)/(ResolveSwagger!$C:$C=$C$1),(ResolveSwagger!I:I))</f>
        <v>1270</v>
      </c>
      <c r="I8" s="130">
        <f>LOOKUP(2,1/(ResolveSwagger!$A:$A=$B8)/(ResolveSwagger!$C:$C=$C$1),(ResolveSwagger!J:J))</f>
        <v>3534</v>
      </c>
      <c r="J8" s="130">
        <f>LOOKUP(2,1/(ResolveSwagger!$A:$A=$B8)/(ResolveSwagger!$C:$C=$C$1),(ResolveSwagger!K:K))</f>
        <v>1272</v>
      </c>
      <c r="K8" s="131">
        <f>LOOKUP(2,1/(ResolveSwagger!$A:$A=$B8)/(ResolveSwagger!$C:$C=$C$1),(ResolveSwagger!L:L))</f>
        <v>46305.562068788582</v>
      </c>
      <c r="L8" s="119" t="str">
        <f>LOOKUP(2,1/(ResolveSwagger!$A:$A=$B8)/(ResolveSwagger!$C:$C=$C$1),(ResolveSwagger!M:M))</f>
        <v>2026-10-10 21:29:23</v>
      </c>
    </row>
    <row r="9" spans="2:12" x14ac:dyDescent="0.15">
      <c r="D9" s="39"/>
      <c r="E9" s="39"/>
    </row>
    <row r="10" spans="2:12" x14ac:dyDescent="0.15">
      <c r="D10" s="39"/>
      <c r="E10" s="39"/>
    </row>
    <row r="11" spans="2:12" ht="14.25" thickBot="1" x14ac:dyDescent="0.2">
      <c r="D11" s="39"/>
      <c r="E11" s="39"/>
    </row>
    <row r="12" spans="2:12" ht="14.25" thickBot="1" x14ac:dyDescent="0.2">
      <c r="B12" s="121" t="s">
        <v>119</v>
      </c>
      <c r="C12" s="120"/>
      <c r="D12" s="139" t="s">
        <v>122</v>
      </c>
      <c r="E12" s="143" t="s">
        <v>123</v>
      </c>
      <c r="F12" s="121" t="s">
        <v>158</v>
      </c>
      <c r="I12" s="33" t="s">
        <v>151</v>
      </c>
      <c r="J12" s="33" t="s">
        <v>152</v>
      </c>
    </row>
    <row r="13" spans="2:12" x14ac:dyDescent="0.15">
      <c r="B13" s="122" t="s">
        <v>10</v>
      </c>
      <c r="C13" s="118">
        <v>0</v>
      </c>
      <c r="D13" s="140">
        <f>$C13*D4</f>
        <v>0</v>
      </c>
      <c r="E13" s="144">
        <f t="shared" ref="E13:E16" si="1">$C13*E4</f>
        <v>0</v>
      </c>
      <c r="F13" s="136">
        <f>IF(F4=0,E4,F4)*C13</f>
        <v>0</v>
      </c>
      <c r="I13">
        <f>C13/71680</f>
        <v>0</v>
      </c>
      <c r="J13" s="35">
        <f>IF(C1="SAPPHIRE",VLOOKUP("PRECURSOR_APPARATUS",ResolveSwagger!E:N,10,FALSE),IF(C1="AMETHYST",VLOOKUP("JUNGLE_KEY",ResolveSwagger!E:N,10,FALSE),0))</f>
        <v>0</v>
      </c>
    </row>
    <row r="14" spans="2:12" x14ac:dyDescent="0.15">
      <c r="B14" s="149" t="s">
        <v>11</v>
      </c>
      <c r="C14" s="118">
        <v>224000</v>
      </c>
      <c r="D14" s="140">
        <f t="shared" ref="D14" si="2">$C14*D5</f>
        <v>180252747.04491735</v>
      </c>
      <c r="E14" s="144">
        <f t="shared" si="1"/>
        <v>74768840.546066687</v>
      </c>
      <c r="F14" s="136">
        <f t="shared" ref="F14:F16" si="3">IF(F5=0,E5,F5)*C14</f>
        <v>67200000</v>
      </c>
      <c r="I14">
        <f>C14/71680</f>
        <v>3.125</v>
      </c>
    </row>
    <row r="15" spans="2:12" x14ac:dyDescent="0.15">
      <c r="B15" s="148" t="s">
        <v>12</v>
      </c>
      <c r="C15" s="118"/>
      <c r="D15" s="140">
        <f t="shared" ref="D15" si="4">$C15*D6</f>
        <v>0</v>
      </c>
      <c r="E15" s="144">
        <f t="shared" si="1"/>
        <v>0</v>
      </c>
      <c r="F15" s="136">
        <f t="shared" si="3"/>
        <v>0</v>
      </c>
    </row>
    <row r="16" spans="2:12" ht="14.25" thickBot="1" x14ac:dyDescent="0.2">
      <c r="B16" s="150" t="s">
        <v>13</v>
      </c>
      <c r="C16" s="119"/>
      <c r="D16" s="140">
        <f t="shared" ref="D16" si="5">$C16*D7</f>
        <v>0</v>
      </c>
      <c r="E16" s="144">
        <f t="shared" si="1"/>
        <v>0</v>
      </c>
      <c r="F16" s="136">
        <f t="shared" si="3"/>
        <v>0</v>
      </c>
    </row>
    <row r="17" spans="2:6" ht="14.25" thickBot="1" x14ac:dyDescent="0.2">
      <c r="B17" s="160" t="s">
        <v>159</v>
      </c>
      <c r="C17" s="118"/>
      <c r="D17" s="145">
        <f>J13*C21</f>
        <v>0</v>
      </c>
      <c r="E17" s="146"/>
      <c r="F17" s="147"/>
    </row>
    <row r="18" spans="2:6" x14ac:dyDescent="0.15">
      <c r="B18" s="133" t="s">
        <v>120</v>
      </c>
      <c r="C18" s="116">
        <f>C13+C14*80+C15*6400+C16*512000</f>
        <v>17920000</v>
      </c>
      <c r="D18" s="140"/>
      <c r="E18" s="144"/>
      <c r="F18" s="136"/>
    </row>
    <row r="19" spans="2:6" ht="14.25" thickBot="1" x14ac:dyDescent="0.2">
      <c r="B19" s="132" t="s">
        <v>124</v>
      </c>
      <c r="C19" s="119"/>
      <c r="D19" s="154">
        <f>SUM(D13:D17)</f>
        <v>180252747.04491735</v>
      </c>
      <c r="E19" s="155">
        <f>SUM(E13:E16)</f>
        <v>74768840.546066687</v>
      </c>
      <c r="F19" s="159">
        <f>SUM(F13:F16)</f>
        <v>67200000</v>
      </c>
    </row>
    <row r="20" spans="2:6" x14ac:dyDescent="0.15">
      <c r="B20" s="32"/>
      <c r="D20" s="141" t="s">
        <v>125</v>
      </c>
      <c r="E20" s="141" t="s">
        <v>126</v>
      </c>
      <c r="F20" s="91" t="s">
        <v>156</v>
      </c>
    </row>
    <row r="21" spans="2:6" x14ac:dyDescent="0.15">
      <c r="B21" s="152" t="s">
        <v>121</v>
      </c>
      <c r="C21" s="49">
        <f>C18/2560000</f>
        <v>7</v>
      </c>
      <c r="D21" s="153">
        <f>$C21*D8</f>
        <v>113009001</v>
      </c>
      <c r="E21" s="153">
        <f>$C21*E8</f>
        <v>101211768.7933331</v>
      </c>
      <c r="F21" s="153">
        <f>IF(F8=0,D8,F8)*C21</f>
        <v>77000000</v>
      </c>
    </row>
    <row r="22" spans="2:6" x14ac:dyDescent="0.15">
      <c r="B22" s="156" t="s">
        <v>127</v>
      </c>
      <c r="C22" s="157"/>
      <c r="D22" s="158">
        <f>D21-E19</f>
        <v>38240160.453933313</v>
      </c>
      <c r="E22" s="39"/>
      <c r="F22" s="35">
        <f>F21-F19</f>
        <v>9800000</v>
      </c>
    </row>
    <row r="23" spans="2:6" x14ac:dyDescent="0.15">
      <c r="B23" s="32" t="s">
        <v>128</v>
      </c>
      <c r="D23" s="137">
        <f>E21-D19</f>
        <v>-79040978.251584247</v>
      </c>
      <c r="E23" s="39"/>
      <c r="F23" s="35"/>
    </row>
    <row r="24" spans="2:6" x14ac:dyDescent="0.15">
      <c r="B24" s="32"/>
      <c r="D24" s="137"/>
      <c r="E24" s="39"/>
      <c r="F24" s="35"/>
    </row>
    <row r="25" spans="2:6" x14ac:dyDescent="0.15">
      <c r="B25" s="32" t="s">
        <v>129</v>
      </c>
      <c r="D25" s="142">
        <f>D22/D19</f>
        <v>0.21214744896178594</v>
      </c>
      <c r="E25" s="39"/>
      <c r="F25" s="92">
        <f>F22/F19</f>
        <v>0.14583333333333334</v>
      </c>
    </row>
  </sheetData>
  <phoneticPr fontId="2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GemName!$A$2:$A$13</xm:f>
          </x14:formula1>
          <xm:sqref>C1:D1 F1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2" sqref="C2:C13"/>
    </sheetView>
  </sheetViews>
  <sheetFormatPr defaultColWidth="9" defaultRowHeight="13.5" x14ac:dyDescent="0.15"/>
  <cols>
    <col min="1" max="1" width="16.25" customWidth="1"/>
    <col min="2" max="2" width="15" customWidth="1"/>
  </cols>
  <sheetData>
    <row r="1" spans="1:3" ht="15.75" x14ac:dyDescent="0.15">
      <c r="A1" s="1" t="s">
        <v>97</v>
      </c>
      <c r="B1" s="2" t="s">
        <v>98</v>
      </c>
      <c r="C1" s="3" t="s">
        <v>99</v>
      </c>
    </row>
    <row r="2" spans="1:3" ht="16.5" x14ac:dyDescent="0.15">
      <c r="A2" s="4" t="s">
        <v>42</v>
      </c>
      <c r="B2" s="5" t="s">
        <v>100</v>
      </c>
      <c r="C2" s="6" t="s">
        <v>43</v>
      </c>
    </row>
    <row r="3" spans="1:3" ht="16.5" x14ac:dyDescent="0.15">
      <c r="A3" s="7" t="s">
        <v>34</v>
      </c>
      <c r="B3" s="8" t="s">
        <v>101</v>
      </c>
      <c r="C3" s="9" t="s">
        <v>35</v>
      </c>
    </row>
    <row r="4" spans="1:3" ht="16.5" x14ac:dyDescent="0.15">
      <c r="A4" s="4" t="s">
        <v>1</v>
      </c>
      <c r="B4" s="10" t="s">
        <v>102</v>
      </c>
      <c r="C4" s="11" t="s">
        <v>23</v>
      </c>
    </row>
    <row r="5" spans="1:3" ht="16.5" x14ac:dyDescent="0.15">
      <c r="A5" s="7" t="s">
        <v>40</v>
      </c>
      <c r="B5" s="8" t="s">
        <v>103</v>
      </c>
      <c r="C5" s="12" t="s">
        <v>29</v>
      </c>
    </row>
    <row r="6" spans="1:3" ht="16.5" x14ac:dyDescent="0.15">
      <c r="A6" s="4" t="s">
        <v>25</v>
      </c>
      <c r="B6" s="13" t="s">
        <v>104</v>
      </c>
      <c r="C6" s="14" t="s">
        <v>26</v>
      </c>
    </row>
    <row r="7" spans="1:3" ht="16.5" x14ac:dyDescent="0.15">
      <c r="A7" s="7" t="s">
        <v>31</v>
      </c>
      <c r="B7" s="15" t="s">
        <v>105</v>
      </c>
      <c r="C7" s="16" t="s">
        <v>32</v>
      </c>
    </row>
    <row r="8" spans="1:3" ht="16.5" x14ac:dyDescent="0.15">
      <c r="A8" s="4" t="s">
        <v>47</v>
      </c>
      <c r="B8" s="5" t="s">
        <v>106</v>
      </c>
      <c r="C8" s="17" t="s">
        <v>48</v>
      </c>
    </row>
    <row r="9" spans="1:3" ht="16.5" x14ac:dyDescent="0.15">
      <c r="A9" s="7" t="s">
        <v>20</v>
      </c>
      <c r="B9" s="18" t="s">
        <v>107</v>
      </c>
      <c r="C9" s="19" t="s">
        <v>21</v>
      </c>
    </row>
    <row r="10" spans="1:3" ht="16.5" x14ac:dyDescent="0.15">
      <c r="A10" s="4" t="s">
        <v>37</v>
      </c>
      <c r="B10" s="13" t="s">
        <v>108</v>
      </c>
      <c r="C10" s="20" t="s">
        <v>38</v>
      </c>
    </row>
    <row r="11" spans="1:3" ht="16.5" x14ac:dyDescent="0.15">
      <c r="A11" s="7" t="s">
        <v>28</v>
      </c>
      <c r="B11" s="8" t="s">
        <v>109</v>
      </c>
      <c r="C11" s="21" t="s">
        <v>29</v>
      </c>
    </row>
    <row r="12" spans="1:3" ht="15.75" x14ac:dyDescent="0.15">
      <c r="A12" s="4" t="s">
        <v>17</v>
      </c>
      <c r="B12" s="22" t="s">
        <v>110</v>
      </c>
      <c r="C12" s="23" t="s">
        <v>18</v>
      </c>
    </row>
    <row r="13" spans="1:3" ht="15.75" x14ac:dyDescent="0.15">
      <c r="A13" s="24" t="s">
        <v>45</v>
      </c>
      <c r="B13" s="25" t="s">
        <v>111</v>
      </c>
      <c r="C13" s="26" t="s">
        <v>29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CC0B-EB96-43B5-B109-158D3D766310}">
  <dimension ref="A1:N63"/>
  <sheetViews>
    <sheetView zoomScaleNormal="100" workbookViewId="0">
      <pane xSplit="5" ySplit="1" topLeftCell="F50" activePane="bottomRight" state="frozen"/>
      <selection pane="topRight" activeCell="F1" sqref="F1"/>
      <selection pane="bottomLeft" activeCell="A2" sqref="A2"/>
      <selection pane="bottomRight" activeCell="A62" sqref="A62:A63"/>
    </sheetView>
  </sheetViews>
  <sheetFormatPr defaultRowHeight="13.5" x14ac:dyDescent="0.15"/>
  <cols>
    <col min="1" max="1" width="9.125" customWidth="1"/>
    <col min="2" max="2" width="6.375" customWidth="1"/>
    <col min="3" max="3" width="11.625" bestFit="1" customWidth="1"/>
    <col min="4" max="4" width="5.875" style="33" customWidth="1"/>
    <col min="5" max="5" width="24.25" customWidth="1"/>
    <col min="6" max="7" width="17.25" style="456" bestFit="1" customWidth="1"/>
    <col min="8" max="11" width="18.75" style="459" customWidth="1"/>
    <col min="12" max="12" width="11.625" bestFit="1" customWidth="1"/>
    <col min="13" max="13" width="21.625" bestFit="1" customWidth="1"/>
    <col min="14" max="14" width="13.875" bestFit="1" customWidth="1"/>
  </cols>
  <sheetData>
    <row r="1" spans="1:14" ht="27.75" customHeight="1" x14ac:dyDescent="0.15">
      <c r="A1" s="33" t="s">
        <v>113</v>
      </c>
      <c r="B1" s="33" t="s">
        <v>114</v>
      </c>
      <c r="C1" s="33" t="s">
        <v>115</v>
      </c>
      <c r="D1" s="33" t="s">
        <v>118</v>
      </c>
      <c r="E1" s="29" t="s">
        <v>15</v>
      </c>
      <c r="F1" s="454" t="s">
        <v>2</v>
      </c>
      <c r="G1" s="454" t="s">
        <v>3</v>
      </c>
      <c r="H1" s="457" t="s">
        <v>4</v>
      </c>
      <c r="I1" s="457" t="s">
        <v>5</v>
      </c>
      <c r="J1" s="457" t="s">
        <v>6</v>
      </c>
      <c r="K1" s="457" t="s">
        <v>7</v>
      </c>
      <c r="L1" s="31" t="s">
        <v>8</v>
      </c>
      <c r="M1" s="34" t="s">
        <v>117</v>
      </c>
      <c r="N1" s="34" t="s">
        <v>147</v>
      </c>
    </row>
    <row r="2" spans="1:14" ht="16.5" x14ac:dyDescent="0.15">
      <c r="A2" s="46" t="s">
        <v>14</v>
      </c>
      <c r="B2" s="47">
        <v>5</v>
      </c>
      <c r="C2" s="47" t="s">
        <v>1</v>
      </c>
      <c r="D2" s="48" t="s">
        <v>23</v>
      </c>
      <c r="E2" s="49" t="str">
        <f t="shared" ref="E2:E33" si="0">_xlfn.CONCAT(A2,"_",C2,"_GEM")</f>
        <v>PERFECT_TOPAZ_GEM</v>
      </c>
      <c r="F2" s="455">
        <f>_xlfn.NUMBERVALUE(IF(VLOOKUP($E2, SwaggerAPI!$A:$A, 1, TRUE) = $E2, VLOOKUP($E2, SwaggerAPI!$A:$H, 2, TRUE), NA()))</f>
        <v>16144143</v>
      </c>
      <c r="G2" s="455">
        <f>_xlfn.NUMBERVALUE(IF(VLOOKUP($E2, SwaggerAPI!$A:$A, 1, TRUE) = $E2, VLOOKUP($E2, SwaggerAPI!$A:$H, 3, TRUE), NA()))</f>
        <v>14458824.1133333</v>
      </c>
      <c r="H2" s="458">
        <f>_xlfn.NUMBERVALUE(IF(VLOOKUP($E2, SwaggerAPI!$A:$A, 1, TRUE) = $E2, VLOOKUP($E2, SwaggerAPI!$A:$H, 4, TRUE), NA()))</f>
        <v>401</v>
      </c>
      <c r="I2" s="458">
        <f>_xlfn.NUMBERVALUE(IF(VLOOKUP($E2, SwaggerAPI!$A:$A, 1, TRUE) = $E2, VLOOKUP($E2, SwaggerAPI!$A:$H, 5, TRUE), NA()))</f>
        <v>1270</v>
      </c>
      <c r="J2" s="458">
        <f>_xlfn.NUMBERVALUE(IF(VLOOKUP($E2, SwaggerAPI!$A:$A, 1, TRUE) = $E2, VLOOKUP($E2, SwaggerAPI!$A:$H, 6, TRUE), NA()))</f>
        <v>3534</v>
      </c>
      <c r="K2" s="458">
        <f>_xlfn.NUMBERVALUE(IF(VLOOKUP($E2, SwaggerAPI!$A:$A, 1, TRUE) = $E2, VLOOKUP($E2, SwaggerAPI!$A:$H, 7, TRUE), NA()))</f>
        <v>1272</v>
      </c>
      <c r="L2" s="453">
        <f>IF(VLOOKUP($E2, SwaggerAPI!$A:$A, 1, TRUE) = $E2, VLOOKUP($E2, SwaggerAPI!$A:$H, 8, TRUE), NA())</f>
        <v>46305.562068788582</v>
      </c>
      <c r="M2" t="str">
        <f t="shared" ref="M2:M63" si="1">TEXT(L2+8/24, "yyyy-mm-dd hh:mm:ss")</f>
        <v>2026-10-10 21:29:23</v>
      </c>
    </row>
    <row r="3" spans="1:14" ht="16.5" x14ac:dyDescent="0.15">
      <c r="A3" s="46" t="s">
        <v>14</v>
      </c>
      <c r="B3" s="47">
        <v>5</v>
      </c>
      <c r="C3" s="47" t="s">
        <v>25</v>
      </c>
      <c r="D3" s="50" t="s">
        <v>26</v>
      </c>
      <c r="E3" s="49" t="str">
        <f t="shared" si="0"/>
        <v>PERFECT_SAPPHIRE_GEM</v>
      </c>
      <c r="F3" s="455">
        <f>_xlfn.NUMBERVALUE(IF(VLOOKUP($E3, SwaggerAPI!$A:$A, 1, TRUE) = $E3, VLOOKUP($E3, SwaggerAPI!$A:$H, 2, TRUE), NA()))</f>
        <v>15657513.2789474</v>
      </c>
      <c r="G3" s="455">
        <f>_xlfn.NUMBERVALUE(IF(VLOOKUP($E3, SwaggerAPI!$A:$A, 1, TRUE) = $E3, VLOOKUP($E3, SwaggerAPI!$A:$H, 3, TRUE), NA()))</f>
        <v>14736247.316</v>
      </c>
      <c r="H3" s="458">
        <f>_xlfn.NUMBERVALUE(IF(VLOOKUP($E3, SwaggerAPI!$A:$A, 1, TRUE) = $E3, VLOOKUP($E3, SwaggerAPI!$A:$H, 4, TRUE), NA()))</f>
        <v>613</v>
      </c>
      <c r="I3" s="458">
        <f>_xlfn.NUMBERVALUE(IF(VLOOKUP($E3, SwaggerAPI!$A:$A, 1, TRUE) = $E3, VLOOKUP($E3, SwaggerAPI!$A:$H, 5, TRUE), NA()))</f>
        <v>1100</v>
      </c>
      <c r="J3" s="458">
        <f>_xlfn.NUMBERVALUE(IF(VLOOKUP($E3, SwaggerAPI!$A:$A, 1, TRUE) = $E3, VLOOKUP($E3, SwaggerAPI!$A:$H, 6, TRUE), NA()))</f>
        <v>4356</v>
      </c>
      <c r="K3" s="458">
        <f>_xlfn.NUMBERVALUE(IF(VLOOKUP($E3, SwaggerAPI!$A:$A, 1, TRUE) = $E3, VLOOKUP($E3, SwaggerAPI!$A:$H, 7, TRUE), NA()))</f>
        <v>1032</v>
      </c>
      <c r="L3" s="453">
        <f>IF(VLOOKUP($E3, SwaggerAPI!$A:$A, 1, TRUE) = $E3, VLOOKUP($E3, SwaggerAPI!$A:$H, 8, TRUE), NA())</f>
        <v>46305.562068788582</v>
      </c>
      <c r="M3" t="str">
        <f t="shared" si="1"/>
        <v>2026-10-10 21:29:23</v>
      </c>
    </row>
    <row r="4" spans="1:14" ht="16.5" x14ac:dyDescent="0.15">
      <c r="A4" s="46" t="s">
        <v>14</v>
      </c>
      <c r="B4" s="47">
        <v>5</v>
      </c>
      <c r="C4" s="47" t="s">
        <v>42</v>
      </c>
      <c r="D4" s="50" t="s">
        <v>43</v>
      </c>
      <c r="E4" s="49" t="str">
        <f t="shared" si="0"/>
        <v>PERFECT_RUBY_GEM</v>
      </c>
      <c r="F4" s="455">
        <f>_xlfn.NUMBERVALUE(IF(VLOOKUP($E4, SwaggerAPI!$A:$A, 1, TRUE) = $E4, VLOOKUP($E4, SwaggerAPI!$A:$H, 2, TRUE), NA()))</f>
        <v>11731607.574999999</v>
      </c>
      <c r="G4" s="455">
        <f>_xlfn.NUMBERVALUE(IF(VLOOKUP($E4, SwaggerAPI!$A:$A, 1, TRUE) = $E4, VLOOKUP($E4, SwaggerAPI!$A:$H, 3, TRUE), NA()))</f>
        <v>9500002.8406249993</v>
      </c>
      <c r="H4" s="458">
        <f>_xlfn.NUMBERVALUE(IF(VLOOKUP($E4, SwaggerAPI!$A:$A, 1, TRUE) = $E4, VLOOKUP($E4, SwaggerAPI!$A:$H, 4, TRUE), NA()))</f>
        <v>117</v>
      </c>
      <c r="I4" s="458">
        <f>_xlfn.NUMBERVALUE(IF(VLOOKUP($E4, SwaggerAPI!$A:$A, 1, TRUE) = $E4, VLOOKUP($E4, SwaggerAPI!$A:$H, 5, TRUE), NA()))</f>
        <v>1410</v>
      </c>
      <c r="J4" s="458">
        <f>_xlfn.NUMBERVALUE(IF(VLOOKUP($E4, SwaggerAPI!$A:$A, 1, TRUE) = $E4, VLOOKUP($E4, SwaggerAPI!$A:$H, 6, TRUE), NA()))</f>
        <v>775</v>
      </c>
      <c r="K4" s="458">
        <f>_xlfn.NUMBERVALUE(IF(VLOOKUP($E4, SwaggerAPI!$A:$A, 1, TRUE) = $E4, VLOOKUP($E4, SwaggerAPI!$A:$H, 7, TRUE), NA()))</f>
        <v>299</v>
      </c>
      <c r="L4" s="453">
        <f>IF(VLOOKUP($E4, SwaggerAPI!$A:$A, 1, TRUE) = $E4, VLOOKUP($E4, SwaggerAPI!$A:$H, 8, TRUE), NA())</f>
        <v>46305.562068788582</v>
      </c>
      <c r="M4" t="str">
        <f t="shared" si="1"/>
        <v>2026-10-10 21:29:23</v>
      </c>
    </row>
    <row r="5" spans="1:14" ht="16.5" x14ac:dyDescent="0.15">
      <c r="A5" s="46" t="s">
        <v>14</v>
      </c>
      <c r="B5" s="47">
        <v>5</v>
      </c>
      <c r="C5" s="47" t="s">
        <v>45</v>
      </c>
      <c r="D5" s="51" t="s">
        <v>29</v>
      </c>
      <c r="E5" s="49" t="str">
        <f t="shared" si="0"/>
        <v>PERFECT_PERIDOT_GEM</v>
      </c>
      <c r="F5" s="455">
        <f>_xlfn.NUMBERVALUE(IF(VLOOKUP($E5, SwaggerAPI!$A:$A, 1, TRUE) = $E5, VLOOKUP($E5, SwaggerAPI!$A:$H, 2, TRUE), NA()))</f>
        <v>21692982.921428598</v>
      </c>
      <c r="G5" s="455">
        <f>_xlfn.NUMBERVALUE(IF(VLOOKUP($E5, SwaggerAPI!$A:$A, 1, TRUE) = $E5, VLOOKUP($E5, SwaggerAPI!$A:$H, 3, TRUE), NA()))</f>
        <v>20696278.978947401</v>
      </c>
      <c r="H5" s="458">
        <f>_xlfn.NUMBERVALUE(IF(VLOOKUP($E5, SwaggerAPI!$A:$A, 1, TRUE) = $E5, VLOOKUP($E5, SwaggerAPI!$A:$H, 4, TRUE), NA()))</f>
        <v>289</v>
      </c>
      <c r="I5" s="458">
        <f>_xlfn.NUMBERVALUE(IF(VLOOKUP($E5, SwaggerAPI!$A:$A, 1, TRUE) = $E5, VLOOKUP($E5, SwaggerAPI!$A:$H, 5, TRUE), NA()))</f>
        <v>1263</v>
      </c>
      <c r="J5" s="458">
        <f>_xlfn.NUMBERVALUE(IF(VLOOKUP($E5, SwaggerAPI!$A:$A, 1, TRUE) = $E5, VLOOKUP($E5, SwaggerAPI!$A:$H, 6, TRUE), NA()))</f>
        <v>3714</v>
      </c>
      <c r="K5" s="458">
        <f>_xlfn.NUMBERVALUE(IF(VLOOKUP($E5, SwaggerAPI!$A:$A, 1, TRUE) = $E5, VLOOKUP($E5, SwaggerAPI!$A:$H, 7, TRUE), NA()))</f>
        <v>1906</v>
      </c>
      <c r="L5" s="453">
        <f>IF(VLOOKUP($E5, SwaggerAPI!$A:$A, 1, TRUE) = $E5, VLOOKUP($E5, SwaggerAPI!$A:$H, 8, TRUE), NA())</f>
        <v>46305.562068788582</v>
      </c>
      <c r="M5" t="str">
        <f t="shared" si="1"/>
        <v>2026-10-10 21:29:23</v>
      </c>
    </row>
    <row r="6" spans="1:14" ht="16.5" x14ac:dyDescent="0.15">
      <c r="A6" s="46" t="s">
        <v>14</v>
      </c>
      <c r="B6" s="47">
        <v>5</v>
      </c>
      <c r="C6" s="47" t="s">
        <v>20</v>
      </c>
      <c r="D6" s="52" t="s">
        <v>21</v>
      </c>
      <c r="E6" s="49" t="str">
        <f t="shared" si="0"/>
        <v>PERFECT_OPAL_GEM</v>
      </c>
      <c r="F6" s="455">
        <f>_xlfn.NUMBERVALUE(IF(VLOOKUP($E6, SwaggerAPI!$A:$A, 1, TRUE) = $E6, VLOOKUP($E6, SwaggerAPI!$A:$H, 2, TRUE), NA()))</f>
        <v>13202096.48</v>
      </c>
      <c r="G6" s="455">
        <f>_xlfn.NUMBERVALUE(IF(VLOOKUP($E6, SwaggerAPI!$A:$A, 1, TRUE) = $E6, VLOOKUP($E6, SwaggerAPI!$A:$H, 3, TRUE), NA()))</f>
        <v>10521028.720454499</v>
      </c>
      <c r="H6" s="458">
        <f>_xlfn.NUMBERVALUE(IF(VLOOKUP($E6, SwaggerAPI!$A:$A, 1, TRUE) = $E6, VLOOKUP($E6, SwaggerAPI!$A:$H, 4, TRUE), NA()))</f>
        <v>159</v>
      </c>
      <c r="I6" s="458">
        <f>_xlfn.NUMBERVALUE(IF(VLOOKUP($E6, SwaggerAPI!$A:$A, 1, TRUE) = $E6, VLOOKUP($E6, SwaggerAPI!$A:$H, 5, TRUE), NA()))</f>
        <v>2024</v>
      </c>
      <c r="J6" s="458">
        <f>_xlfn.NUMBERVALUE(IF(VLOOKUP($E6, SwaggerAPI!$A:$A, 1, TRUE) = $E6, VLOOKUP($E6, SwaggerAPI!$A:$H, 6, TRUE), NA()))</f>
        <v>799</v>
      </c>
      <c r="K6" s="458">
        <f>_xlfn.NUMBERVALUE(IF(VLOOKUP($E6, SwaggerAPI!$A:$A, 1, TRUE) = $E6, VLOOKUP($E6, SwaggerAPI!$A:$H, 7, TRUE), NA()))</f>
        <v>314</v>
      </c>
      <c r="L6" s="453">
        <f>IF(VLOOKUP($E6, SwaggerAPI!$A:$A, 1, TRUE) = $E6, VLOOKUP($E6, SwaggerAPI!$A:$H, 8, TRUE), NA())</f>
        <v>46305.562068788582</v>
      </c>
      <c r="M6" t="str">
        <f t="shared" si="1"/>
        <v>2026-10-10 21:29:23</v>
      </c>
    </row>
    <row r="7" spans="1:14" ht="16.5" x14ac:dyDescent="0.15">
      <c r="A7" s="46" t="s">
        <v>14</v>
      </c>
      <c r="B7" s="47">
        <v>5</v>
      </c>
      <c r="C7" s="47" t="s">
        <v>17</v>
      </c>
      <c r="D7" s="50" t="s">
        <v>18</v>
      </c>
      <c r="E7" s="49" t="str">
        <f t="shared" si="0"/>
        <v>PERFECT_ONYX_GEM</v>
      </c>
      <c r="F7" s="455">
        <f>_xlfn.NUMBERVALUE(IF(VLOOKUP($E7, SwaggerAPI!$A:$A, 1, TRUE) = $E7, VLOOKUP($E7, SwaggerAPI!$A:$H, 2, TRUE), NA()))</f>
        <v>17680651.219999999</v>
      </c>
      <c r="G7" s="455">
        <f>_xlfn.NUMBERVALUE(IF(VLOOKUP($E7, SwaggerAPI!$A:$A, 1, TRUE) = $E7, VLOOKUP($E7, SwaggerAPI!$A:$H, 3, TRUE), NA()))</f>
        <v>15115964.2444444</v>
      </c>
      <c r="H7" s="458">
        <f>_xlfn.NUMBERVALUE(IF(VLOOKUP($E7, SwaggerAPI!$A:$A, 1, TRUE) = $E7, VLOOKUP($E7, SwaggerAPI!$A:$H, 4, TRUE), NA()))</f>
        <v>493</v>
      </c>
      <c r="I7" s="458">
        <f>_xlfn.NUMBERVALUE(IF(VLOOKUP($E7, SwaggerAPI!$A:$A, 1, TRUE) = $E7, VLOOKUP($E7, SwaggerAPI!$A:$H, 5, TRUE), NA()))</f>
        <v>425</v>
      </c>
      <c r="J7" s="458">
        <f>_xlfn.NUMBERVALUE(IF(VLOOKUP($E7, SwaggerAPI!$A:$A, 1, TRUE) = $E7, VLOOKUP($E7, SwaggerAPI!$A:$H, 6, TRUE), NA()))</f>
        <v>2838</v>
      </c>
      <c r="K7" s="458">
        <f>_xlfn.NUMBERVALUE(IF(VLOOKUP($E7, SwaggerAPI!$A:$A, 1, TRUE) = $E7, VLOOKUP($E7, SwaggerAPI!$A:$H, 7, TRUE), NA()))</f>
        <v>1416</v>
      </c>
      <c r="L7" s="453">
        <f>IF(VLOOKUP($E7, SwaggerAPI!$A:$A, 1, TRUE) = $E7, VLOOKUP($E7, SwaggerAPI!$A:$H, 8, TRUE), NA())</f>
        <v>46305.562068788582</v>
      </c>
      <c r="M7" t="str">
        <f t="shared" si="1"/>
        <v>2026-10-10 21:29:23</v>
      </c>
    </row>
    <row r="8" spans="1:14" ht="16.5" x14ac:dyDescent="0.15">
      <c r="A8" s="46" t="s">
        <v>14</v>
      </c>
      <c r="B8" s="47">
        <v>5</v>
      </c>
      <c r="C8" s="47" t="s">
        <v>47</v>
      </c>
      <c r="D8" s="53" t="s">
        <v>48</v>
      </c>
      <c r="E8" s="49" t="str">
        <f t="shared" si="0"/>
        <v>PERFECT_JASPER_GEM</v>
      </c>
      <c r="F8" s="455">
        <f>_xlfn.NUMBERVALUE(IF(VLOOKUP($E8, SwaggerAPI!$A:$A, 1, TRUE) = $E8, VLOOKUP($E8, SwaggerAPI!$A:$H, 2, TRUE), NA()))</f>
        <v>29406831.149999999</v>
      </c>
      <c r="G8" s="455">
        <f>_xlfn.NUMBERVALUE(IF(VLOOKUP($E8, SwaggerAPI!$A:$A, 1, TRUE) = $E8, VLOOKUP($E8, SwaggerAPI!$A:$H, 3, TRUE), NA()))</f>
        <v>28168462.801408499</v>
      </c>
      <c r="H8" s="458">
        <f>_xlfn.NUMBERVALUE(IF(VLOOKUP($E8, SwaggerAPI!$A:$A, 1, TRUE) = $E8, VLOOKUP($E8, SwaggerAPI!$A:$H, 4, TRUE), NA()))</f>
        <v>174</v>
      </c>
      <c r="I8" s="458">
        <f>_xlfn.NUMBERVALUE(IF(VLOOKUP($E8, SwaggerAPI!$A:$A, 1, TRUE) = $E8, VLOOKUP($E8, SwaggerAPI!$A:$H, 5, TRUE), NA()))</f>
        <v>1650</v>
      </c>
      <c r="J8" s="458">
        <f>_xlfn.NUMBERVALUE(IF(VLOOKUP($E8, SwaggerAPI!$A:$A, 1, TRUE) = $E8, VLOOKUP($E8, SwaggerAPI!$A:$H, 6, TRUE), NA()))</f>
        <v>2399</v>
      </c>
      <c r="K8" s="458">
        <f>_xlfn.NUMBERVALUE(IF(VLOOKUP($E8, SwaggerAPI!$A:$A, 1, TRUE) = $E8, VLOOKUP($E8, SwaggerAPI!$A:$H, 7, TRUE), NA()))</f>
        <v>1182</v>
      </c>
      <c r="L8" s="453">
        <f>IF(VLOOKUP($E8, SwaggerAPI!$A:$A, 1, TRUE) = $E8, VLOOKUP($E8, SwaggerAPI!$A:$H, 8, TRUE), NA())</f>
        <v>46305.562068788582</v>
      </c>
      <c r="M8" t="str">
        <f t="shared" si="1"/>
        <v>2026-10-10 21:29:23</v>
      </c>
    </row>
    <row r="9" spans="1:14" ht="16.5" x14ac:dyDescent="0.15">
      <c r="A9" s="46" t="s">
        <v>14</v>
      </c>
      <c r="B9" s="47">
        <v>5</v>
      </c>
      <c r="C9" s="47" t="s">
        <v>40</v>
      </c>
      <c r="D9" s="50" t="s">
        <v>29</v>
      </c>
      <c r="E9" s="49" t="str">
        <f t="shared" si="0"/>
        <v>PERFECT_JADE_GEM</v>
      </c>
      <c r="F9" s="455">
        <f>_xlfn.NUMBERVALUE(IF(VLOOKUP($E9, SwaggerAPI!$A:$A, 1, TRUE) = $E9, VLOOKUP($E9, SwaggerAPI!$A:$H, 2, TRUE), NA()))</f>
        <v>14999998.2357143</v>
      </c>
      <c r="G9" s="455">
        <f>_xlfn.NUMBERVALUE(IF(VLOOKUP($E9, SwaggerAPI!$A:$A, 1, TRUE) = $E9, VLOOKUP($E9, SwaggerAPI!$A:$H, 3, TRUE), NA()))</f>
        <v>14022540.9424242</v>
      </c>
      <c r="H9" s="458">
        <f>_xlfn.NUMBERVALUE(IF(VLOOKUP($E9, SwaggerAPI!$A:$A, 1, TRUE) = $E9, VLOOKUP($E9, SwaggerAPI!$A:$H, 4, TRUE), NA()))</f>
        <v>1130</v>
      </c>
      <c r="I9" s="458">
        <f>_xlfn.NUMBERVALUE(IF(VLOOKUP($E9, SwaggerAPI!$A:$A, 1, TRUE) = $E9, VLOOKUP($E9, SwaggerAPI!$A:$H, 5, TRUE), NA()))</f>
        <v>3267</v>
      </c>
      <c r="J9" s="458">
        <f>_xlfn.NUMBERVALUE(IF(VLOOKUP($E9, SwaggerAPI!$A:$A, 1, TRUE) = $E9, VLOOKUP($E9, SwaggerAPI!$A:$H, 6, TRUE), NA()))</f>
        <v>5362</v>
      </c>
      <c r="K9" s="458">
        <f>_xlfn.NUMBERVALUE(IF(VLOOKUP($E9, SwaggerAPI!$A:$A, 1, TRUE) = $E9, VLOOKUP($E9, SwaggerAPI!$A:$H, 7, TRUE), NA()))</f>
        <v>2138</v>
      </c>
      <c r="L9" s="453">
        <f>IF(VLOOKUP($E9, SwaggerAPI!$A:$A, 1, TRUE) = $E9, VLOOKUP($E9, SwaggerAPI!$A:$H, 8, TRUE), NA())</f>
        <v>46305.562068788582</v>
      </c>
      <c r="M9" t="str">
        <f t="shared" si="1"/>
        <v>2026-10-10 21:29:23</v>
      </c>
    </row>
    <row r="10" spans="1:14" ht="16.5" x14ac:dyDescent="0.15">
      <c r="A10" s="46" t="s">
        <v>14</v>
      </c>
      <c r="B10" s="47">
        <v>5</v>
      </c>
      <c r="C10" s="47" t="s">
        <v>28</v>
      </c>
      <c r="D10" s="54" t="s">
        <v>29</v>
      </c>
      <c r="E10" s="49" t="str">
        <f t="shared" si="0"/>
        <v>PERFECT_CITRINE_GEM</v>
      </c>
      <c r="F10" s="455">
        <f>_xlfn.NUMBERVALUE(IF(VLOOKUP($E10, SwaggerAPI!$A:$A, 1, TRUE) = $E10, VLOOKUP($E10, SwaggerAPI!$A:$H, 2, TRUE), NA()))</f>
        <v>13602081.847619001</v>
      </c>
      <c r="G10" s="455">
        <f>_xlfn.NUMBERVALUE(IF(VLOOKUP($E10, SwaggerAPI!$A:$A, 1, TRUE) = $E10, VLOOKUP($E10, SwaggerAPI!$A:$H, 3, TRUE), NA()))</f>
        <v>11977926.990625</v>
      </c>
      <c r="H10" s="458">
        <f>_xlfn.NUMBERVALUE(IF(VLOOKUP($E10, SwaggerAPI!$A:$A, 1, TRUE) = $E10, VLOOKUP($E10, SwaggerAPI!$A:$H, 4, TRUE), NA()))</f>
        <v>894</v>
      </c>
      <c r="I10" s="458">
        <f>_xlfn.NUMBERVALUE(IF(VLOOKUP($E10, SwaggerAPI!$A:$A, 1, TRUE) = $E10, VLOOKUP($E10, SwaggerAPI!$A:$H, 5, TRUE), NA()))</f>
        <v>1503</v>
      </c>
      <c r="J10" s="458">
        <f>_xlfn.NUMBERVALUE(IF(VLOOKUP($E10, SwaggerAPI!$A:$A, 1, TRUE) = $E10, VLOOKUP($E10, SwaggerAPI!$A:$H, 6, TRUE), NA()))</f>
        <v>1711</v>
      </c>
      <c r="K10" s="458">
        <f>_xlfn.NUMBERVALUE(IF(VLOOKUP($E10, SwaggerAPI!$A:$A, 1, TRUE) = $E10, VLOOKUP($E10, SwaggerAPI!$A:$H, 7, TRUE), NA()))</f>
        <v>643</v>
      </c>
      <c r="L10" s="453">
        <f>IF(VLOOKUP($E10, SwaggerAPI!$A:$A, 1, TRUE) = $E10, VLOOKUP($E10, SwaggerAPI!$A:$H, 8, TRUE), NA())</f>
        <v>46305.562068788582</v>
      </c>
      <c r="M10" t="str">
        <f t="shared" si="1"/>
        <v>2026-10-10 21:29:23</v>
      </c>
    </row>
    <row r="11" spans="1:14" ht="16.5" x14ac:dyDescent="0.15">
      <c r="A11" s="46" t="s">
        <v>14</v>
      </c>
      <c r="B11" s="47">
        <v>5</v>
      </c>
      <c r="C11" s="47" t="s">
        <v>37</v>
      </c>
      <c r="D11" s="55" t="s">
        <v>38</v>
      </c>
      <c r="E11" s="49" t="str">
        <f t="shared" si="0"/>
        <v>PERFECT_AQUAMARINE_GEM</v>
      </c>
      <c r="F11" s="455">
        <f>_xlfn.NUMBERVALUE(IF(VLOOKUP($E11, SwaggerAPI!$A:$A, 1, TRUE) = $E11, VLOOKUP($E11, SwaggerAPI!$A:$H, 2, TRUE), NA()))</f>
        <v>13525669.5</v>
      </c>
      <c r="G11" s="455">
        <f>_xlfn.NUMBERVALUE(IF(VLOOKUP($E11, SwaggerAPI!$A:$A, 1, TRUE) = $E11, VLOOKUP($E11, SwaggerAPI!$A:$H, 3, TRUE), NA()))</f>
        <v>11546080.5583333</v>
      </c>
      <c r="H11" s="458">
        <f>_xlfn.NUMBERVALUE(IF(VLOOKUP($E11, SwaggerAPI!$A:$A, 1, TRUE) = $E11, VLOOKUP($E11, SwaggerAPI!$A:$H, 4, TRUE), NA()))</f>
        <v>996</v>
      </c>
      <c r="I11" s="458">
        <f>_xlfn.NUMBERVALUE(IF(VLOOKUP($E11, SwaggerAPI!$A:$A, 1, TRUE) = $E11, VLOOKUP($E11, SwaggerAPI!$A:$H, 5, TRUE), NA()))</f>
        <v>1051</v>
      </c>
      <c r="J11" s="458">
        <f>_xlfn.NUMBERVALUE(IF(VLOOKUP($E11, SwaggerAPI!$A:$A, 1, TRUE) = $E11, VLOOKUP($E11, SwaggerAPI!$A:$H, 6, TRUE), NA()))</f>
        <v>2755</v>
      </c>
      <c r="K11" s="458">
        <f>_xlfn.NUMBERVALUE(IF(VLOOKUP($E11, SwaggerAPI!$A:$A, 1, TRUE) = $E11, VLOOKUP($E11, SwaggerAPI!$A:$H, 7, TRUE), NA()))</f>
        <v>664</v>
      </c>
      <c r="L11" s="453">
        <f>IF(VLOOKUP($E11, SwaggerAPI!$A:$A, 1, TRUE) = $E11, VLOOKUP($E11, SwaggerAPI!$A:$H, 8, TRUE), NA())</f>
        <v>46305.562068788582</v>
      </c>
      <c r="M11" t="str">
        <f t="shared" si="1"/>
        <v>2026-10-10 21:29:23</v>
      </c>
    </row>
    <row r="12" spans="1:14" ht="16.5" x14ac:dyDescent="0.15">
      <c r="A12" s="46" t="s">
        <v>14</v>
      </c>
      <c r="B12" s="47">
        <v>5</v>
      </c>
      <c r="C12" s="47" t="s">
        <v>31</v>
      </c>
      <c r="D12" s="48" t="s">
        <v>32</v>
      </c>
      <c r="E12" s="49" t="str">
        <f t="shared" si="0"/>
        <v>PERFECT_AMETHYST_GEM</v>
      </c>
      <c r="F12" s="455">
        <f>_xlfn.NUMBERVALUE(IF(VLOOKUP($E12, SwaggerAPI!$A:$A, 1, TRUE) = $E12, VLOOKUP($E12, SwaggerAPI!$A:$H, 2, TRUE), NA()))</f>
        <v>13400289.721621601</v>
      </c>
      <c r="G12" s="455">
        <f>_xlfn.NUMBERVALUE(IF(VLOOKUP($E12, SwaggerAPI!$A:$A, 1, TRUE) = $E12, VLOOKUP($E12, SwaggerAPI!$A:$H, 3, TRUE), NA()))</f>
        <v>12458500</v>
      </c>
      <c r="H12" s="458">
        <f>_xlfn.NUMBERVALUE(IF(VLOOKUP($E12, SwaggerAPI!$A:$A, 1, TRUE) = $E12, VLOOKUP($E12, SwaggerAPI!$A:$H, 4, TRUE), NA()))</f>
        <v>1549</v>
      </c>
      <c r="I12" s="458">
        <f>_xlfn.NUMBERVALUE(IF(VLOOKUP($E12, SwaggerAPI!$A:$A, 1, TRUE) = $E12, VLOOKUP($E12, SwaggerAPI!$A:$H, 5, TRUE), NA()))</f>
        <v>292</v>
      </c>
      <c r="J12" s="458">
        <f>_xlfn.NUMBERVALUE(IF(VLOOKUP($E12, SwaggerAPI!$A:$A, 1, TRUE) = $E12, VLOOKUP($E12, SwaggerAPI!$A:$H, 6, TRUE), NA()))</f>
        <v>1163</v>
      </c>
      <c r="K12" s="458">
        <f>_xlfn.NUMBERVALUE(IF(VLOOKUP($E12, SwaggerAPI!$A:$A, 1, TRUE) = $E12, VLOOKUP($E12, SwaggerAPI!$A:$H, 7, TRUE), NA()))</f>
        <v>394</v>
      </c>
      <c r="L12" s="453">
        <f>IF(VLOOKUP($E12, SwaggerAPI!$A:$A, 1, TRUE) = $E12, VLOOKUP($E12, SwaggerAPI!$A:$H, 8, TRUE), NA())</f>
        <v>46305.562068788582</v>
      </c>
      <c r="M12" t="str">
        <f t="shared" si="1"/>
        <v>2026-10-10 21:29:23</v>
      </c>
    </row>
    <row r="13" spans="1:14" ht="16.5" x14ac:dyDescent="0.15">
      <c r="A13" s="46" t="s">
        <v>14</v>
      </c>
      <c r="B13" s="47">
        <v>5</v>
      </c>
      <c r="C13" s="47" t="s">
        <v>34</v>
      </c>
      <c r="D13" s="51" t="s">
        <v>35</v>
      </c>
      <c r="E13" s="49" t="str">
        <f t="shared" si="0"/>
        <v>PERFECT_AMBER_GEM</v>
      </c>
      <c r="F13" s="455">
        <f>_xlfn.NUMBERVALUE(IF(VLOOKUP($E13, SwaggerAPI!$A:$A, 1, TRUE) = $E13, VLOOKUP($E13, SwaggerAPI!$A:$H, 2, TRUE), NA()))</f>
        <v>15151234.541333299</v>
      </c>
      <c r="G13" s="455">
        <f>_xlfn.NUMBERVALUE(IF(VLOOKUP($E13, SwaggerAPI!$A:$A, 1, TRUE) = $E13, VLOOKUP($E13, SwaggerAPI!$A:$H, 3, TRUE), NA()))</f>
        <v>14099510.648148101</v>
      </c>
      <c r="H13" s="458">
        <f>_xlfn.NUMBERVALUE(IF(VLOOKUP($E13, SwaggerAPI!$A:$A, 1, TRUE) = $E13, VLOOKUP($E13, SwaggerAPI!$A:$H, 4, TRUE), NA()))</f>
        <v>2563</v>
      </c>
      <c r="I13" s="458">
        <f>_xlfn.NUMBERVALUE(IF(VLOOKUP($E13, SwaggerAPI!$A:$A, 1, TRUE) = $E13, VLOOKUP($E13, SwaggerAPI!$A:$H, 5, TRUE), NA()))</f>
        <v>3750</v>
      </c>
      <c r="J13" s="458">
        <f>_xlfn.NUMBERVALUE(IF(VLOOKUP($E13, SwaggerAPI!$A:$A, 1, TRUE) = $E13, VLOOKUP($E13, SwaggerAPI!$A:$H, 6, TRUE), NA()))</f>
        <v>5944</v>
      </c>
      <c r="K13" s="458">
        <f>_xlfn.NUMBERVALUE(IF(VLOOKUP($E13, SwaggerAPI!$A:$A, 1, TRUE) = $E13, VLOOKUP($E13, SwaggerAPI!$A:$H, 7, TRUE), NA()))</f>
        <v>1952</v>
      </c>
      <c r="L13" s="453">
        <f>IF(VLOOKUP($E13, SwaggerAPI!$A:$A, 1, TRUE) = $E13, VLOOKUP($E13, SwaggerAPI!$A:$H, 8, TRUE), NA())</f>
        <v>46305.562068788582</v>
      </c>
      <c r="M13" t="str">
        <f t="shared" si="1"/>
        <v>2026-10-10 21:29:23</v>
      </c>
    </row>
    <row r="14" spans="1:14" ht="15" x14ac:dyDescent="0.15">
      <c r="A14" s="56" t="s">
        <v>13</v>
      </c>
      <c r="B14" s="57">
        <v>4</v>
      </c>
      <c r="C14" s="57" t="s">
        <v>1</v>
      </c>
      <c r="D14" s="58" t="s">
        <v>23</v>
      </c>
      <c r="E14" s="59" t="str">
        <f t="shared" si="0"/>
        <v>FLAWLESS_TOPAZ_GEM</v>
      </c>
      <c r="F14" s="455">
        <f>_xlfn.NUMBERVALUE(IF(VLOOKUP($E14, SwaggerAPI!$A:$A, 1, TRUE) = $E14, VLOOKUP($E14, SwaggerAPI!$A:$H, 2, TRUE), NA()))</f>
        <v>2468588.7999999998</v>
      </c>
      <c r="G14" s="455">
        <f>_xlfn.NUMBERVALUE(IF(VLOOKUP($E14, SwaggerAPI!$A:$A, 1, TRUE) = $E14, VLOOKUP($E14, SwaggerAPI!$A:$H, 3, TRUE), NA()))</f>
        <v>2265555.0222857101</v>
      </c>
      <c r="H14" s="458">
        <f>_xlfn.NUMBERVALUE(IF(VLOOKUP($E14, SwaggerAPI!$A:$A, 1, TRUE) = $E14, VLOOKUP($E14, SwaggerAPI!$A:$H, 4, TRUE), NA()))</f>
        <v>19</v>
      </c>
      <c r="I14" s="458">
        <f>_xlfn.NUMBERVALUE(IF(VLOOKUP($E14, SwaggerAPI!$A:$A, 1, TRUE) = $E14, VLOOKUP($E14, SwaggerAPI!$A:$H, 5, TRUE), NA()))</f>
        <v>6465</v>
      </c>
      <c r="J14" s="458">
        <f>_xlfn.NUMBERVALUE(IF(VLOOKUP($E14, SwaggerAPI!$A:$A, 1, TRUE) = $E14, VLOOKUP($E14, SwaggerAPI!$A:$H, 6, TRUE), NA()))</f>
        <v>7230</v>
      </c>
      <c r="K14" s="458">
        <f>_xlfn.NUMBERVALUE(IF(VLOOKUP($E14, SwaggerAPI!$A:$A, 1, TRUE) = $E14, VLOOKUP($E14, SwaggerAPI!$A:$H, 7, TRUE), NA()))</f>
        <v>3973</v>
      </c>
      <c r="L14" s="453">
        <f>IF(VLOOKUP($E14, SwaggerAPI!$A:$A, 1, TRUE) = $E14, VLOOKUP($E14, SwaggerAPI!$A:$H, 8, TRUE), NA())</f>
        <v>46305.562068788582</v>
      </c>
      <c r="M14" t="str">
        <f t="shared" si="1"/>
        <v>2026-10-10 21:29:23</v>
      </c>
    </row>
    <row r="15" spans="1:14" ht="16.5" x14ac:dyDescent="0.15">
      <c r="A15" s="56" t="s">
        <v>13</v>
      </c>
      <c r="B15" s="57">
        <v>4</v>
      </c>
      <c r="C15" s="57" t="s">
        <v>25</v>
      </c>
      <c r="D15" s="60" t="s">
        <v>26</v>
      </c>
      <c r="E15" s="59" t="str">
        <f t="shared" si="0"/>
        <v>FLAWLESS_SAPPHIRE_GEM</v>
      </c>
      <c r="F15" s="455">
        <f>_xlfn.NUMBERVALUE(IF(VLOOKUP($E15, SwaggerAPI!$A:$A, 1, TRUE) = $E15, VLOOKUP($E15, SwaggerAPI!$A:$H, 2, TRUE), NA()))</f>
        <v>2399993.6764044901</v>
      </c>
      <c r="G15" s="455">
        <f>_xlfn.NUMBERVALUE(IF(VLOOKUP($E15, SwaggerAPI!$A:$A, 1, TRUE) = $E15, VLOOKUP($E15, SwaggerAPI!$A:$H, 3, TRUE), NA()))</f>
        <v>2058311.30647482</v>
      </c>
      <c r="H15" s="458">
        <f>_xlfn.NUMBERVALUE(IF(VLOOKUP($E15, SwaggerAPI!$A:$A, 1, TRUE) = $E15, VLOOKUP($E15, SwaggerAPI!$A:$H, 4, TRUE), NA()))</f>
        <v>16811</v>
      </c>
      <c r="I15" s="458">
        <f>_xlfn.NUMBERVALUE(IF(VLOOKUP($E15, SwaggerAPI!$A:$A, 1, TRUE) = $E15, VLOOKUP($E15, SwaggerAPI!$A:$H, 5, TRUE), NA()))</f>
        <v>6042</v>
      </c>
      <c r="J15" s="458">
        <f>_xlfn.NUMBERVALUE(IF(VLOOKUP($E15, SwaggerAPI!$A:$A, 1, TRUE) = $E15, VLOOKUP($E15, SwaggerAPI!$A:$H, 6, TRUE), NA()))</f>
        <v>17704</v>
      </c>
      <c r="K15" s="458">
        <f>_xlfn.NUMBERVALUE(IF(VLOOKUP($E15, SwaggerAPI!$A:$A, 1, TRUE) = $E15, VLOOKUP($E15, SwaggerAPI!$A:$H, 7, TRUE), NA()))</f>
        <v>6163</v>
      </c>
      <c r="L15" s="453">
        <f>IF(VLOOKUP($E15, SwaggerAPI!$A:$A, 1, TRUE) = $E15, VLOOKUP($E15, SwaggerAPI!$A:$H, 8, TRUE), NA())</f>
        <v>46305.562068788582</v>
      </c>
      <c r="M15" t="str">
        <f t="shared" si="1"/>
        <v>2026-10-10 21:29:23</v>
      </c>
    </row>
    <row r="16" spans="1:14" ht="16.5" x14ac:dyDescent="0.15">
      <c r="A16" s="56" t="s">
        <v>13</v>
      </c>
      <c r="B16" s="57">
        <v>4</v>
      </c>
      <c r="C16" s="57" t="s">
        <v>42</v>
      </c>
      <c r="D16" s="61" t="s">
        <v>43</v>
      </c>
      <c r="E16" s="59" t="str">
        <f t="shared" si="0"/>
        <v>FLAWLESS_RUBY_GEM</v>
      </c>
      <c r="F16" s="455">
        <f>_xlfn.NUMBERVALUE(IF(VLOOKUP($E16, SwaggerAPI!$A:$A, 1, TRUE) = $E16, VLOOKUP($E16, SwaggerAPI!$A:$H, 2, TRUE), NA()))</f>
        <v>2013632.1663716801</v>
      </c>
      <c r="G16" s="455">
        <f>_xlfn.NUMBERVALUE(IF(VLOOKUP($E16, SwaggerAPI!$A:$A, 1, TRUE) = $E16, VLOOKUP($E16, SwaggerAPI!$A:$H, 3, TRUE), NA()))</f>
        <v>1800000.0016574599</v>
      </c>
      <c r="H16" s="458">
        <f>_xlfn.NUMBERVALUE(IF(VLOOKUP($E16, SwaggerAPI!$A:$A, 1, TRUE) = $E16, VLOOKUP($E16, SwaggerAPI!$A:$H, 4, TRUE), NA()))</f>
        <v>5128</v>
      </c>
      <c r="I16" s="458">
        <f>_xlfn.NUMBERVALUE(IF(VLOOKUP($E16, SwaggerAPI!$A:$A, 1, TRUE) = $E16, VLOOKUP($E16, SwaggerAPI!$A:$H, 5, TRUE), NA()))</f>
        <v>1396</v>
      </c>
      <c r="J16" s="458">
        <f>_xlfn.NUMBERVALUE(IF(VLOOKUP($E16, SwaggerAPI!$A:$A, 1, TRUE) = $E16, VLOOKUP($E16, SwaggerAPI!$A:$H, 6, TRUE), NA()))</f>
        <v>11684</v>
      </c>
      <c r="K16" s="458">
        <f>_xlfn.NUMBERVALUE(IF(VLOOKUP($E16, SwaggerAPI!$A:$A, 1, TRUE) = $E16, VLOOKUP($E16, SwaggerAPI!$A:$H, 7, TRUE), NA()))</f>
        <v>3990</v>
      </c>
      <c r="L16" s="453">
        <f>IF(VLOOKUP($E16, SwaggerAPI!$A:$A, 1, TRUE) = $E16, VLOOKUP($E16, SwaggerAPI!$A:$H, 8, TRUE), NA())</f>
        <v>46305.562068788582</v>
      </c>
      <c r="M16" t="str">
        <f t="shared" si="1"/>
        <v>2026-10-10 21:29:23</v>
      </c>
    </row>
    <row r="17" spans="1:13" ht="16.5" x14ac:dyDescent="0.15">
      <c r="A17" s="56" t="s">
        <v>13</v>
      </c>
      <c r="B17" s="57">
        <v>4</v>
      </c>
      <c r="C17" s="59" t="s">
        <v>45</v>
      </c>
      <c r="D17" s="62" t="s">
        <v>29</v>
      </c>
      <c r="E17" s="59" t="str">
        <f t="shared" si="0"/>
        <v>FLAWLESS_PERIDOT_GEM</v>
      </c>
      <c r="F17" s="455">
        <f>_xlfn.NUMBERVALUE(IF(VLOOKUP($E17, SwaggerAPI!$A:$A, 1, TRUE) = $E17, VLOOKUP($E17, SwaggerAPI!$A:$H, 2, TRUE), NA()))</f>
        <v>2679982.6601851899</v>
      </c>
      <c r="G17" s="455">
        <f>_xlfn.NUMBERVALUE(IF(VLOOKUP($E17, SwaggerAPI!$A:$A, 1, TRUE) = $E17, VLOOKUP($E17, SwaggerAPI!$A:$H, 3, TRUE), NA()))</f>
        <v>2428673.4065217399</v>
      </c>
      <c r="H17" s="458">
        <f>_xlfn.NUMBERVALUE(IF(VLOOKUP($E17, SwaggerAPI!$A:$A, 1, TRUE) = $E17, VLOOKUP($E17, SwaggerAPI!$A:$H, 4, TRUE), NA()))</f>
        <v>5304</v>
      </c>
      <c r="I17" s="458">
        <f>_xlfn.NUMBERVALUE(IF(VLOOKUP($E17, SwaggerAPI!$A:$A, 1, TRUE) = $E17, VLOOKUP($E17, SwaggerAPI!$A:$H, 5, TRUE), NA()))</f>
        <v>11262</v>
      </c>
      <c r="J17" s="458">
        <f>_xlfn.NUMBERVALUE(IF(VLOOKUP($E17, SwaggerAPI!$A:$A, 1, TRUE) = $E17, VLOOKUP($E17, SwaggerAPI!$A:$H, 6, TRUE), NA()))</f>
        <v>22216</v>
      </c>
      <c r="K17" s="458">
        <f>_xlfn.NUMBERVALUE(IF(VLOOKUP($E17, SwaggerAPI!$A:$A, 1, TRUE) = $E17, VLOOKUP($E17, SwaggerAPI!$A:$H, 7, TRUE), NA()))</f>
        <v>10278</v>
      </c>
      <c r="L17" s="453">
        <f>IF(VLOOKUP($E17, SwaggerAPI!$A:$A, 1, TRUE) = $E17, VLOOKUP($E17, SwaggerAPI!$A:$H, 8, TRUE), NA())</f>
        <v>46305.562068788582</v>
      </c>
      <c r="M17" t="str">
        <f t="shared" si="1"/>
        <v>2026-10-10 21:29:23</v>
      </c>
    </row>
    <row r="18" spans="1:13" ht="16.5" x14ac:dyDescent="0.15">
      <c r="A18" s="56" t="s">
        <v>13</v>
      </c>
      <c r="B18" s="57">
        <v>4</v>
      </c>
      <c r="C18" s="63" t="s">
        <v>20</v>
      </c>
      <c r="D18" s="62" t="s">
        <v>21</v>
      </c>
      <c r="E18" s="59" t="str">
        <f t="shared" si="0"/>
        <v>FLAWLESS_OPAL_GEM</v>
      </c>
      <c r="F18" s="455">
        <f>_xlfn.NUMBERVALUE(IF(VLOOKUP($E18, SwaggerAPI!$A:$A, 1, TRUE) = $E18, VLOOKUP($E18, SwaggerAPI!$A:$H, 2, TRUE), NA()))</f>
        <v>2453418.1949999998</v>
      </c>
      <c r="G18" s="455">
        <f>_xlfn.NUMBERVALUE(IF(VLOOKUP($E18, SwaggerAPI!$A:$A, 1, TRUE) = $E18, VLOOKUP($E18, SwaggerAPI!$A:$H, 3, TRUE), NA()))</f>
        <v>2127624.7552941199</v>
      </c>
      <c r="H18" s="458">
        <f>_xlfn.NUMBERVALUE(IF(VLOOKUP($E18, SwaggerAPI!$A:$A, 1, TRUE) = $E18, VLOOKUP($E18, SwaggerAPI!$A:$H, 4, TRUE), NA()))</f>
        <v>989</v>
      </c>
      <c r="I18" s="458">
        <f>_xlfn.NUMBERVALUE(IF(VLOOKUP($E18, SwaggerAPI!$A:$A, 1, TRUE) = $E18, VLOOKUP($E18, SwaggerAPI!$A:$H, 5, TRUE), NA()))</f>
        <v>3821</v>
      </c>
      <c r="J18" s="458">
        <f>_xlfn.NUMBERVALUE(IF(VLOOKUP($E18, SwaggerAPI!$A:$A, 1, TRUE) = $E18, VLOOKUP($E18, SwaggerAPI!$A:$H, 6, TRUE), NA()))</f>
        <v>2319</v>
      </c>
      <c r="K18" s="458">
        <f>_xlfn.NUMBERVALUE(IF(VLOOKUP($E18, SwaggerAPI!$A:$A, 1, TRUE) = $E18, VLOOKUP($E18, SwaggerAPI!$A:$H, 7, TRUE), NA()))</f>
        <v>955</v>
      </c>
      <c r="L18" s="453">
        <f>IF(VLOOKUP($E18, SwaggerAPI!$A:$A, 1, TRUE) = $E18, VLOOKUP($E18, SwaggerAPI!$A:$H, 8, TRUE), NA())</f>
        <v>46305.562068788582</v>
      </c>
      <c r="M18" t="str">
        <f t="shared" si="1"/>
        <v>2026-10-10 21:29:23</v>
      </c>
    </row>
    <row r="19" spans="1:13" ht="16.5" x14ac:dyDescent="0.15">
      <c r="A19" s="56" t="s">
        <v>13</v>
      </c>
      <c r="B19" s="57">
        <v>4</v>
      </c>
      <c r="C19" s="59" t="s">
        <v>17</v>
      </c>
      <c r="D19" s="64" t="s">
        <v>18</v>
      </c>
      <c r="E19" s="59" t="str">
        <f t="shared" si="0"/>
        <v>FLAWLESS_ONYX_GEM</v>
      </c>
      <c r="F19" s="455">
        <f>_xlfn.NUMBERVALUE(IF(VLOOKUP($E19, SwaggerAPI!$A:$A, 1, TRUE) = $E19, VLOOKUP($E19, SwaggerAPI!$A:$H, 2, TRUE), NA()))</f>
        <v>1945865.11363636</v>
      </c>
      <c r="G19" s="455">
        <f>_xlfn.NUMBERVALUE(IF(VLOOKUP($E19, SwaggerAPI!$A:$A, 1, TRUE) = $E19, VLOOKUP($E19, SwaggerAPI!$A:$H, 3, TRUE), NA()))</f>
        <v>1213819.3058823501</v>
      </c>
      <c r="H19" s="458">
        <f>_xlfn.NUMBERVALUE(IF(VLOOKUP($E19, SwaggerAPI!$A:$A, 1, TRUE) = $E19, VLOOKUP($E19, SwaggerAPI!$A:$H, 4, TRUE), NA()))</f>
        <v>1000</v>
      </c>
      <c r="I19" s="458">
        <f>_xlfn.NUMBERVALUE(IF(VLOOKUP($E19, SwaggerAPI!$A:$A, 1, TRUE) = $E19, VLOOKUP($E19, SwaggerAPI!$A:$H, 5, TRUE), NA()))</f>
        <v>1269</v>
      </c>
      <c r="J19" s="458">
        <f>_xlfn.NUMBERVALUE(IF(VLOOKUP($E19, SwaggerAPI!$A:$A, 1, TRUE) = $E19, VLOOKUP($E19, SwaggerAPI!$A:$H, 6, TRUE), NA()))</f>
        <v>8544</v>
      </c>
      <c r="K19" s="458">
        <f>_xlfn.NUMBERVALUE(IF(VLOOKUP($E19, SwaggerAPI!$A:$A, 1, TRUE) = $E19, VLOOKUP($E19, SwaggerAPI!$A:$H, 7, TRUE), NA()))</f>
        <v>4653</v>
      </c>
      <c r="L19" s="453">
        <f>IF(VLOOKUP($E19, SwaggerAPI!$A:$A, 1, TRUE) = $E19, VLOOKUP($E19, SwaggerAPI!$A:$H, 8, TRUE), NA())</f>
        <v>46305.562068788582</v>
      </c>
      <c r="M19" t="str">
        <f t="shared" si="1"/>
        <v>2026-10-10 21:29:23</v>
      </c>
    </row>
    <row r="20" spans="1:13" ht="16.5" x14ac:dyDescent="0.15">
      <c r="A20" s="56" t="s">
        <v>13</v>
      </c>
      <c r="B20" s="57">
        <v>4</v>
      </c>
      <c r="C20" s="57" t="s">
        <v>47</v>
      </c>
      <c r="D20" s="65" t="s">
        <v>48</v>
      </c>
      <c r="E20" s="59" t="str">
        <f t="shared" si="0"/>
        <v>FLAWLESS_JASPER_GEM</v>
      </c>
      <c r="F20" s="455">
        <f>_xlfn.NUMBERVALUE(IF(VLOOKUP($E20, SwaggerAPI!$A:$A, 1, TRUE) = $E20, VLOOKUP($E20, SwaggerAPI!$A:$H, 2, TRUE), NA()))</f>
        <v>5160837.25</v>
      </c>
      <c r="G20" s="455">
        <f>_xlfn.NUMBERVALUE(IF(VLOOKUP($E20, SwaggerAPI!$A:$A, 1, TRUE) = $E20, VLOOKUP($E20, SwaggerAPI!$A:$H, 3, TRUE), NA()))</f>
        <v>4886129.96</v>
      </c>
      <c r="H20" s="458">
        <f>_xlfn.NUMBERVALUE(IF(VLOOKUP($E20, SwaggerAPI!$A:$A, 1, TRUE) = $E20, VLOOKUP($E20, SwaggerAPI!$A:$H, 4, TRUE), NA()))</f>
        <v>681</v>
      </c>
      <c r="I20" s="458">
        <f>_xlfn.NUMBERVALUE(IF(VLOOKUP($E20, SwaggerAPI!$A:$A, 1, TRUE) = $E20, VLOOKUP($E20, SwaggerAPI!$A:$H, 5, TRUE), NA()))</f>
        <v>1690</v>
      </c>
      <c r="J20" s="458">
        <f>_xlfn.NUMBERVALUE(IF(VLOOKUP($E20, SwaggerAPI!$A:$A, 1, TRUE) = $E20, VLOOKUP($E20, SwaggerAPI!$A:$H, 6, TRUE), NA()))</f>
        <v>13163</v>
      </c>
      <c r="K20" s="458">
        <f>_xlfn.NUMBERVALUE(IF(VLOOKUP($E20, SwaggerAPI!$A:$A, 1, TRUE) = $E20, VLOOKUP($E20, SwaggerAPI!$A:$H, 7, TRUE), NA()))</f>
        <v>3225</v>
      </c>
      <c r="L20" s="453">
        <f>IF(VLOOKUP($E20, SwaggerAPI!$A:$A, 1, TRUE) = $E20, VLOOKUP($E20, SwaggerAPI!$A:$H, 8, TRUE), NA())</f>
        <v>46305.562068788582</v>
      </c>
      <c r="M20" t="str">
        <f t="shared" si="1"/>
        <v>2026-10-10 21:29:23</v>
      </c>
    </row>
    <row r="21" spans="1:13" ht="16.5" x14ac:dyDescent="0.15">
      <c r="A21" s="56" t="s">
        <v>13</v>
      </c>
      <c r="B21" s="57">
        <v>4</v>
      </c>
      <c r="C21" s="59" t="s">
        <v>40</v>
      </c>
      <c r="D21" s="64" t="s">
        <v>29</v>
      </c>
      <c r="E21" s="59" t="str">
        <f t="shared" si="0"/>
        <v>FLAWLESS_JADE_GEM</v>
      </c>
      <c r="F21" s="455">
        <f>_xlfn.NUMBERVALUE(IF(VLOOKUP($E21, SwaggerAPI!$A:$A, 1, TRUE) = $E21, VLOOKUP($E21, SwaggerAPI!$A:$H, 2, TRUE), NA()))</f>
        <v>2371617.4712765999</v>
      </c>
      <c r="G21" s="455">
        <f>_xlfn.NUMBERVALUE(IF(VLOOKUP($E21, SwaggerAPI!$A:$A, 1, TRUE) = $E21, VLOOKUP($E21, SwaggerAPI!$A:$H, 3, TRUE), NA()))</f>
        <v>1131396.5225</v>
      </c>
      <c r="H21" s="458">
        <f>_xlfn.NUMBERVALUE(IF(VLOOKUP($E21, SwaggerAPI!$A:$A, 1, TRUE) = $E21, VLOOKUP($E21, SwaggerAPI!$A:$H, 4, TRUE), NA()))</f>
        <v>4322</v>
      </c>
      <c r="I21" s="458">
        <f>_xlfn.NUMBERVALUE(IF(VLOOKUP($E21, SwaggerAPI!$A:$A, 1, TRUE) = $E21, VLOOKUP($E21, SwaggerAPI!$A:$H, 5, TRUE), NA()))</f>
        <v>6030</v>
      </c>
      <c r="J21" s="458">
        <f>_xlfn.NUMBERVALUE(IF(VLOOKUP($E21, SwaggerAPI!$A:$A, 1, TRUE) = $E21, VLOOKUP($E21, SwaggerAPI!$A:$H, 6, TRUE), NA()))</f>
        <v>8665</v>
      </c>
      <c r="K21" s="458">
        <f>_xlfn.NUMBERVALUE(IF(VLOOKUP($E21, SwaggerAPI!$A:$A, 1, TRUE) = $E21, VLOOKUP($E21, SwaggerAPI!$A:$H, 7, TRUE), NA()))</f>
        <v>5789</v>
      </c>
      <c r="L21" s="453">
        <f>IF(VLOOKUP($E21, SwaggerAPI!$A:$A, 1, TRUE) = $E21, VLOOKUP($E21, SwaggerAPI!$A:$H, 8, TRUE), NA())</f>
        <v>46305.562068788582</v>
      </c>
      <c r="M21" t="str">
        <f t="shared" si="1"/>
        <v>2026-10-10 21:29:23</v>
      </c>
    </row>
    <row r="22" spans="1:13" ht="16.5" x14ac:dyDescent="0.15">
      <c r="A22" s="56" t="s">
        <v>13</v>
      </c>
      <c r="B22" s="57">
        <v>4</v>
      </c>
      <c r="C22" s="57" t="s">
        <v>28</v>
      </c>
      <c r="D22" s="61" t="s">
        <v>29</v>
      </c>
      <c r="E22" s="59" t="str">
        <f t="shared" si="0"/>
        <v>FLAWLESS_CITRINE_GEM</v>
      </c>
      <c r="F22" s="455">
        <f>_xlfn.NUMBERVALUE(IF(VLOOKUP($E22, SwaggerAPI!$A:$A, 1, TRUE) = $E22, VLOOKUP($E22, SwaggerAPI!$A:$H, 2, TRUE), NA()))</f>
        <v>1645984.32</v>
      </c>
      <c r="G22" s="455">
        <f>_xlfn.NUMBERVALUE(IF(VLOOKUP($E22, SwaggerAPI!$A:$A, 1, TRUE) = $E22, VLOOKUP($E22, SwaggerAPI!$A:$H, 3, TRUE), NA()))</f>
        <v>1351873.7242424199</v>
      </c>
      <c r="H22" s="458">
        <f>_xlfn.NUMBERVALUE(IF(VLOOKUP($E22, SwaggerAPI!$A:$A, 1, TRUE) = $E22, VLOOKUP($E22, SwaggerAPI!$A:$H, 4, TRUE), NA()))</f>
        <v>3996</v>
      </c>
      <c r="I22" s="458">
        <f>_xlfn.NUMBERVALUE(IF(VLOOKUP($E22, SwaggerAPI!$A:$A, 1, TRUE) = $E22, VLOOKUP($E22, SwaggerAPI!$A:$H, 5, TRUE), NA()))</f>
        <v>813</v>
      </c>
      <c r="J22" s="458">
        <f>_xlfn.NUMBERVALUE(IF(VLOOKUP($E22, SwaggerAPI!$A:$A, 1, TRUE) = $E22, VLOOKUP($E22, SwaggerAPI!$A:$H, 6, TRUE), NA()))</f>
        <v>6158</v>
      </c>
      <c r="K22" s="458">
        <f>_xlfn.NUMBERVALUE(IF(VLOOKUP($E22, SwaggerAPI!$A:$A, 1, TRUE) = $E22, VLOOKUP($E22, SwaggerAPI!$A:$H, 7, TRUE), NA()))</f>
        <v>4257</v>
      </c>
      <c r="L22" s="453">
        <f>IF(VLOOKUP($E22, SwaggerAPI!$A:$A, 1, TRUE) = $E22, VLOOKUP($E22, SwaggerAPI!$A:$H, 8, TRUE), NA())</f>
        <v>46305.562068788582</v>
      </c>
      <c r="M22" t="str">
        <f t="shared" si="1"/>
        <v>2026-10-10 21:29:23</v>
      </c>
    </row>
    <row r="23" spans="1:13" ht="16.5" x14ac:dyDescent="0.15">
      <c r="A23" s="56" t="s">
        <v>13</v>
      </c>
      <c r="B23" s="57">
        <v>4</v>
      </c>
      <c r="C23" s="59" t="s">
        <v>37</v>
      </c>
      <c r="D23" s="60" t="s">
        <v>38</v>
      </c>
      <c r="E23" s="59" t="str">
        <f t="shared" si="0"/>
        <v>FLAWLESS_AQUAMARINE_GEM</v>
      </c>
      <c r="F23" s="455">
        <f>_xlfn.NUMBERVALUE(IF(VLOOKUP($E23, SwaggerAPI!$A:$A, 1, TRUE) = $E23, VLOOKUP($E23, SwaggerAPI!$A:$H, 2, TRUE), NA()))</f>
        <v>2067016.1491525399</v>
      </c>
      <c r="G23" s="455">
        <f>_xlfn.NUMBERVALUE(IF(VLOOKUP($E23, SwaggerAPI!$A:$A, 1, TRUE) = $E23, VLOOKUP($E23, SwaggerAPI!$A:$H, 3, TRUE), NA()))</f>
        <v>1658871.10615385</v>
      </c>
      <c r="H23" s="458">
        <f>_xlfn.NUMBERVALUE(IF(VLOOKUP($E23, SwaggerAPI!$A:$A, 1, TRUE) = $E23, VLOOKUP($E23, SwaggerAPI!$A:$H, 4, TRUE), NA()))</f>
        <v>2442</v>
      </c>
      <c r="I23" s="458">
        <f>_xlfn.NUMBERVALUE(IF(VLOOKUP($E23, SwaggerAPI!$A:$A, 1, TRUE) = $E23, VLOOKUP($E23, SwaggerAPI!$A:$H, 5, TRUE), NA()))</f>
        <v>2935</v>
      </c>
      <c r="J23" s="458">
        <f>_xlfn.NUMBERVALUE(IF(VLOOKUP($E23, SwaggerAPI!$A:$A, 1, TRUE) = $E23, VLOOKUP($E23, SwaggerAPI!$A:$H, 6, TRUE), NA()))</f>
        <v>12387</v>
      </c>
      <c r="K23" s="458">
        <f>_xlfn.NUMBERVALUE(IF(VLOOKUP($E23, SwaggerAPI!$A:$A, 1, TRUE) = $E23, VLOOKUP($E23, SwaggerAPI!$A:$H, 7, TRUE), NA()))</f>
        <v>4712</v>
      </c>
      <c r="L23" s="453">
        <f>IF(VLOOKUP($E23, SwaggerAPI!$A:$A, 1, TRUE) = $E23, VLOOKUP($E23, SwaggerAPI!$A:$H, 8, TRUE), NA())</f>
        <v>46305.562068788582</v>
      </c>
      <c r="M23" t="str">
        <f t="shared" si="1"/>
        <v>2026-10-10 21:29:23</v>
      </c>
    </row>
    <row r="24" spans="1:13" ht="16.5" x14ac:dyDescent="0.15">
      <c r="A24" s="56" t="s">
        <v>13</v>
      </c>
      <c r="B24" s="57">
        <v>4</v>
      </c>
      <c r="C24" s="59" t="s">
        <v>31</v>
      </c>
      <c r="D24" s="66" t="s">
        <v>32</v>
      </c>
      <c r="E24" s="59" t="str">
        <f t="shared" si="0"/>
        <v>FLAWLESS_AMETHYST_GEM</v>
      </c>
      <c r="F24" s="455">
        <f>_xlfn.NUMBERVALUE(IF(VLOOKUP($E24, SwaggerAPI!$A:$A, 1, TRUE) = $E24, VLOOKUP($E24, SwaggerAPI!$A:$H, 2, TRUE), NA()))</f>
        <v>2599995.2868055599</v>
      </c>
      <c r="G24" s="455">
        <f>_xlfn.NUMBERVALUE(IF(VLOOKUP($E24, SwaggerAPI!$A:$A, 1, TRUE) = $E24, VLOOKUP($E24, SwaggerAPI!$A:$H, 3, TRUE), NA()))</f>
        <v>2250881.2685185201</v>
      </c>
      <c r="H24" s="458">
        <f>_xlfn.NUMBERVALUE(IF(VLOOKUP($E24, SwaggerAPI!$A:$A, 1, TRUE) = $E24, VLOOKUP($E24, SwaggerAPI!$A:$H, 4, TRUE), NA()))</f>
        <v>6323</v>
      </c>
      <c r="I24" s="458">
        <f>_xlfn.NUMBERVALUE(IF(VLOOKUP($E24, SwaggerAPI!$A:$A, 1, TRUE) = $E24, VLOOKUP($E24, SwaggerAPI!$A:$H, 5, TRUE), NA()))</f>
        <v>2247</v>
      </c>
      <c r="J24" s="458">
        <f>_xlfn.NUMBERVALUE(IF(VLOOKUP($E24, SwaggerAPI!$A:$A, 1, TRUE) = $E24, VLOOKUP($E24, SwaggerAPI!$A:$H, 6, TRUE), NA()))</f>
        <v>7315</v>
      </c>
      <c r="K24" s="458">
        <f>_xlfn.NUMBERVALUE(IF(VLOOKUP($E24, SwaggerAPI!$A:$A, 1, TRUE) = $E24, VLOOKUP($E24, SwaggerAPI!$A:$H, 7, TRUE), NA()))</f>
        <v>1719</v>
      </c>
      <c r="L24" s="453">
        <f>IF(VLOOKUP($E24, SwaggerAPI!$A:$A, 1, TRUE) = $E24, VLOOKUP($E24, SwaggerAPI!$A:$H, 8, TRUE), NA())</f>
        <v>46305.562068788582</v>
      </c>
      <c r="M24" t="str">
        <f t="shared" si="1"/>
        <v>2026-10-10 21:29:23</v>
      </c>
    </row>
    <row r="25" spans="1:13" ht="16.5" x14ac:dyDescent="0.15">
      <c r="A25" s="56" t="s">
        <v>13</v>
      </c>
      <c r="B25" s="57">
        <v>4</v>
      </c>
      <c r="C25" s="57" t="s">
        <v>34</v>
      </c>
      <c r="D25" s="62" t="s">
        <v>35</v>
      </c>
      <c r="E25" s="59" t="str">
        <f t="shared" si="0"/>
        <v>FLAWLESS_AMBER_GEM</v>
      </c>
      <c r="F25" s="455">
        <f>_xlfn.NUMBERVALUE(IF(VLOOKUP($E25, SwaggerAPI!$A:$A, 1, TRUE) = $E25, VLOOKUP($E25, SwaggerAPI!$A:$H, 2, TRUE), NA()))</f>
        <v>2331259.5375000001</v>
      </c>
      <c r="G25" s="455">
        <f>_xlfn.NUMBERVALUE(IF(VLOOKUP($E25, SwaggerAPI!$A:$A, 1, TRUE) = $E25, VLOOKUP($E25, SwaggerAPI!$A:$H, 3, TRUE), NA()))</f>
        <v>2220713.2238853499</v>
      </c>
      <c r="H25" s="458">
        <f>_xlfn.NUMBERVALUE(IF(VLOOKUP($E25, SwaggerAPI!$A:$A, 1, TRUE) = $E25, VLOOKUP($E25, SwaggerAPI!$A:$H, 4, TRUE), NA()))</f>
        <v>5294</v>
      </c>
      <c r="I25" s="458">
        <f>_xlfn.NUMBERVALUE(IF(VLOOKUP($E25, SwaggerAPI!$A:$A, 1, TRUE) = $E25, VLOOKUP($E25, SwaggerAPI!$A:$H, 5, TRUE), NA()))</f>
        <v>12806</v>
      </c>
      <c r="J25" s="458">
        <f>_xlfn.NUMBERVALUE(IF(VLOOKUP($E25, SwaggerAPI!$A:$A, 1, TRUE) = $E25, VLOOKUP($E25, SwaggerAPI!$A:$H, 6, TRUE), NA()))</f>
        <v>12150</v>
      </c>
      <c r="K25" s="458">
        <f>_xlfn.NUMBERVALUE(IF(VLOOKUP($E25, SwaggerAPI!$A:$A, 1, TRUE) = $E25, VLOOKUP($E25, SwaggerAPI!$A:$H, 7, TRUE), NA()))</f>
        <v>11340</v>
      </c>
      <c r="L25" s="453">
        <f>IF(VLOOKUP($E25, SwaggerAPI!$A:$A, 1, TRUE) = $E25, VLOOKUP($E25, SwaggerAPI!$A:$H, 8, TRUE), NA())</f>
        <v>46305.562068788582</v>
      </c>
      <c r="M25" t="str">
        <f t="shared" si="1"/>
        <v>2026-10-10 21:29:23</v>
      </c>
    </row>
    <row r="26" spans="1:13" ht="16.5" x14ac:dyDescent="0.15">
      <c r="A26" s="80" t="s">
        <v>12</v>
      </c>
      <c r="B26" s="81">
        <v>3</v>
      </c>
      <c r="C26" s="81" t="s">
        <v>1</v>
      </c>
      <c r="D26" s="82" t="s">
        <v>23</v>
      </c>
      <c r="E26" s="83" t="str">
        <f t="shared" si="0"/>
        <v>FINE_TOPAZ_GEM</v>
      </c>
      <c r="F26" s="455">
        <f>_xlfn.NUMBERVALUE(IF(VLOOKUP($E26, SwaggerAPI!$A:$A, 1, TRUE) = $E26, VLOOKUP($E26, SwaggerAPI!$A:$H, 2, TRUE), NA()))</f>
        <v>30607.4498693276</v>
      </c>
      <c r="G26" s="455">
        <f>_xlfn.NUMBERVALUE(IF(VLOOKUP($E26, SwaggerAPI!$A:$A, 1, TRUE) = $E26, VLOOKUP($E26, SwaggerAPI!$A:$H, 3, TRUE), NA()))</f>
        <v>29500.068856383001</v>
      </c>
      <c r="H26" s="458">
        <f>_xlfn.NUMBERVALUE(IF(VLOOKUP($E26, SwaggerAPI!$A:$A, 1, TRUE) = $E26, VLOOKUP($E26, SwaggerAPI!$A:$H, 4, TRUE), NA()))</f>
        <v>192351</v>
      </c>
      <c r="I26" s="458">
        <f>_xlfn.NUMBERVALUE(IF(VLOOKUP($E26, SwaggerAPI!$A:$A, 1, TRUE) = $E26, VLOOKUP($E26, SwaggerAPI!$A:$H, 5, TRUE), NA()))</f>
        <v>333628</v>
      </c>
      <c r="J26" s="458">
        <f>_xlfn.NUMBERVALUE(IF(VLOOKUP($E26, SwaggerAPI!$A:$A, 1, TRUE) = $E26, VLOOKUP($E26, SwaggerAPI!$A:$H, 6, TRUE), NA()))</f>
        <v>117621</v>
      </c>
      <c r="K26" s="458">
        <f>_xlfn.NUMBERVALUE(IF(VLOOKUP($E26, SwaggerAPI!$A:$A, 1, TRUE) = $E26, VLOOKUP($E26, SwaggerAPI!$A:$H, 7, TRUE), NA()))</f>
        <v>596289</v>
      </c>
      <c r="L26" s="453">
        <f>IF(VLOOKUP($E26, SwaggerAPI!$A:$A, 1, TRUE) = $E26, VLOOKUP($E26, SwaggerAPI!$A:$H, 8, TRUE), NA())</f>
        <v>46305.562068788582</v>
      </c>
      <c r="M26" t="str">
        <f t="shared" si="1"/>
        <v>2026-10-10 21:29:23</v>
      </c>
    </row>
    <row r="27" spans="1:13" ht="15" x14ac:dyDescent="0.15">
      <c r="A27" s="80" t="s">
        <v>12</v>
      </c>
      <c r="B27" s="81">
        <v>3</v>
      </c>
      <c r="C27" s="83" t="s">
        <v>25</v>
      </c>
      <c r="D27" s="84" t="s">
        <v>26</v>
      </c>
      <c r="E27" s="83" t="str">
        <f t="shared" si="0"/>
        <v>FINE_SAPPHIRE_GEM</v>
      </c>
      <c r="F27" s="455">
        <f>_xlfn.NUMBERVALUE(IF(VLOOKUP($E27, SwaggerAPI!$A:$A, 1, TRUE) = $E27, VLOOKUP($E27, SwaggerAPI!$A:$H, 2, TRUE), NA()))</f>
        <v>29134.107597788199</v>
      </c>
      <c r="G27" s="455">
        <f>_xlfn.NUMBERVALUE(IF(VLOOKUP($E27, SwaggerAPI!$A:$A, 1, TRUE) = $E27, VLOOKUP($E27, SwaggerAPI!$A:$H, 3, TRUE), NA()))</f>
        <v>27725.148468185402</v>
      </c>
      <c r="H27" s="458">
        <f>_xlfn.NUMBERVALUE(IF(VLOOKUP($E27, SwaggerAPI!$A:$A, 1, TRUE) = $E27, VLOOKUP($E27, SwaggerAPI!$A:$H, 4, TRUE), NA()))</f>
        <v>209388</v>
      </c>
      <c r="I27" s="458">
        <f>_xlfn.NUMBERVALUE(IF(VLOOKUP($E27, SwaggerAPI!$A:$A, 1, TRUE) = $E27, VLOOKUP($E27, SwaggerAPI!$A:$H, 5, TRUE), NA()))</f>
        <v>63583</v>
      </c>
      <c r="J27" s="458">
        <f>_xlfn.NUMBERVALUE(IF(VLOOKUP($E27, SwaggerAPI!$A:$A, 1, TRUE) = $E27, VLOOKUP($E27, SwaggerAPI!$A:$H, 6, TRUE), NA()))</f>
        <v>313939</v>
      </c>
      <c r="K27" s="458">
        <f>_xlfn.NUMBERVALUE(IF(VLOOKUP($E27, SwaggerAPI!$A:$A, 1, TRUE) = $E27, VLOOKUP($E27, SwaggerAPI!$A:$H, 7, TRUE), NA()))</f>
        <v>638384</v>
      </c>
      <c r="L27" s="453">
        <f>IF(VLOOKUP($E27, SwaggerAPI!$A:$A, 1, TRUE) = $E27, VLOOKUP($E27, SwaggerAPI!$A:$H, 8, TRUE), NA())</f>
        <v>46305.562068788582</v>
      </c>
      <c r="M27" t="str">
        <f t="shared" si="1"/>
        <v>2026-10-10 21:29:23</v>
      </c>
    </row>
    <row r="28" spans="1:13" ht="16.5" x14ac:dyDescent="0.15">
      <c r="A28" s="80" t="s">
        <v>12</v>
      </c>
      <c r="B28" s="81">
        <v>3</v>
      </c>
      <c r="C28" s="81" t="s">
        <v>42</v>
      </c>
      <c r="D28" s="85" t="s">
        <v>43</v>
      </c>
      <c r="E28" s="83" t="str">
        <f t="shared" si="0"/>
        <v>FINE_RUBY_GEM</v>
      </c>
      <c r="F28" s="455">
        <f>_xlfn.NUMBERVALUE(IF(VLOOKUP($E28, SwaggerAPI!$A:$A, 1, TRUE) = $E28, VLOOKUP($E28, SwaggerAPI!$A:$H, 2, TRUE), NA()))</f>
        <v>25651.275368899001</v>
      </c>
      <c r="G28" s="455">
        <f>_xlfn.NUMBERVALUE(IF(VLOOKUP($E28, SwaggerAPI!$A:$A, 1, TRUE) = $E28, VLOOKUP($E28, SwaggerAPI!$A:$H, 3, TRUE), NA()))</f>
        <v>20886.5417853129</v>
      </c>
      <c r="H28" s="458">
        <f>_xlfn.NUMBERVALUE(IF(VLOOKUP($E28, SwaggerAPI!$A:$A, 1, TRUE) = $E28, VLOOKUP($E28, SwaggerAPI!$A:$H, 4, TRUE), NA()))</f>
        <v>87880</v>
      </c>
      <c r="I28" s="458">
        <f>_xlfn.NUMBERVALUE(IF(VLOOKUP($E28, SwaggerAPI!$A:$A, 1, TRUE) = $E28, VLOOKUP($E28, SwaggerAPI!$A:$H, 5, TRUE), NA()))</f>
        <v>385399</v>
      </c>
      <c r="J28" s="458">
        <f>_xlfn.NUMBERVALUE(IF(VLOOKUP($E28, SwaggerAPI!$A:$A, 1, TRUE) = $E28, VLOOKUP($E28, SwaggerAPI!$A:$H, 6, TRUE), NA()))</f>
        <v>257440</v>
      </c>
      <c r="K28" s="458">
        <f>_xlfn.NUMBERVALUE(IF(VLOOKUP($E28, SwaggerAPI!$A:$A, 1, TRUE) = $E28, VLOOKUP($E28, SwaggerAPI!$A:$H, 7, TRUE), NA()))</f>
        <v>356331</v>
      </c>
      <c r="L28" s="453">
        <f>IF(VLOOKUP($E28, SwaggerAPI!$A:$A, 1, TRUE) = $E28, VLOOKUP($E28, SwaggerAPI!$A:$H, 8, TRUE), NA())</f>
        <v>46305.562068788582</v>
      </c>
      <c r="M28" t="str">
        <f t="shared" si="1"/>
        <v>2026-10-10 21:29:23</v>
      </c>
    </row>
    <row r="29" spans="1:13" ht="16.5" x14ac:dyDescent="0.15">
      <c r="A29" s="80" t="s">
        <v>12</v>
      </c>
      <c r="B29" s="81">
        <v>3</v>
      </c>
      <c r="C29" s="81" t="s">
        <v>45</v>
      </c>
      <c r="D29" s="86" t="s">
        <v>29</v>
      </c>
      <c r="E29" s="83" t="str">
        <f t="shared" si="0"/>
        <v>FINE_PERIDOT_GEM</v>
      </c>
      <c r="F29" s="455">
        <f>_xlfn.NUMBERVALUE(IF(VLOOKUP($E29, SwaggerAPI!$A:$A, 1, TRUE) = $E29, VLOOKUP($E29, SwaggerAPI!$A:$H, 2, TRUE), NA()))</f>
        <v>32671.9341286581</v>
      </c>
      <c r="G29" s="455">
        <f>_xlfn.NUMBERVALUE(IF(VLOOKUP($E29, SwaggerAPI!$A:$A, 1, TRUE) = $E29, VLOOKUP($E29, SwaggerAPI!$A:$H, 3, TRUE), NA()))</f>
        <v>29417.646135831401</v>
      </c>
      <c r="H29" s="458">
        <f>_xlfn.NUMBERVALUE(IF(VLOOKUP($E29, SwaggerAPI!$A:$A, 1, TRUE) = $E29, VLOOKUP($E29, SwaggerAPI!$A:$H, 4, TRUE), NA()))</f>
        <v>319440</v>
      </c>
      <c r="I29" s="458">
        <f>_xlfn.NUMBERVALUE(IF(VLOOKUP($E29, SwaggerAPI!$A:$A, 1, TRUE) = $E29, VLOOKUP($E29, SwaggerAPI!$A:$H, 5, TRUE), NA()))</f>
        <v>46494</v>
      </c>
      <c r="J29" s="458">
        <f>_xlfn.NUMBERVALUE(IF(VLOOKUP($E29, SwaggerAPI!$A:$A, 1, TRUE) = $E29, VLOOKUP($E29, SwaggerAPI!$A:$H, 6, TRUE), NA()))</f>
        <v>539790</v>
      </c>
      <c r="K29" s="458">
        <f>_xlfn.NUMBERVALUE(IF(VLOOKUP($E29, SwaggerAPI!$A:$A, 1, TRUE) = $E29, VLOOKUP($E29, SwaggerAPI!$A:$H, 7, TRUE), NA()))</f>
        <v>582650</v>
      </c>
      <c r="L29" s="453">
        <f>IF(VLOOKUP($E29, SwaggerAPI!$A:$A, 1, TRUE) = $E29, VLOOKUP($E29, SwaggerAPI!$A:$H, 8, TRUE), NA())</f>
        <v>46305.562068788582</v>
      </c>
      <c r="M29" t="str">
        <f t="shared" si="1"/>
        <v>2026-10-10 21:29:23</v>
      </c>
    </row>
    <row r="30" spans="1:13" ht="16.5" x14ac:dyDescent="0.15">
      <c r="A30" s="80" t="s">
        <v>12</v>
      </c>
      <c r="B30" s="81">
        <v>3</v>
      </c>
      <c r="C30" s="83" t="s">
        <v>20</v>
      </c>
      <c r="D30" s="87" t="s">
        <v>21</v>
      </c>
      <c r="E30" s="83" t="str">
        <f t="shared" si="0"/>
        <v>FINE_OPAL_GEM</v>
      </c>
      <c r="F30" s="455">
        <f>_xlfn.NUMBERVALUE(IF(VLOOKUP($E30, SwaggerAPI!$A:$A, 1, TRUE) = $E30, VLOOKUP($E30, SwaggerAPI!$A:$H, 2, TRUE), NA()))</f>
        <v>28059.746003898599</v>
      </c>
      <c r="G30" s="455">
        <f>_xlfn.NUMBERVALUE(IF(VLOOKUP($E30, SwaggerAPI!$A:$A, 1, TRUE) = $E30, VLOOKUP($E30, SwaggerAPI!$A:$H, 3, TRUE), NA()))</f>
        <v>22507</v>
      </c>
      <c r="H30" s="458">
        <f>_xlfn.NUMBERVALUE(IF(VLOOKUP($E30, SwaggerAPI!$A:$A, 1, TRUE) = $E30, VLOOKUP($E30, SwaggerAPI!$A:$H, 4, TRUE), NA()))</f>
        <v>16612</v>
      </c>
      <c r="I30" s="458">
        <f>_xlfn.NUMBERVALUE(IF(VLOOKUP($E30, SwaggerAPI!$A:$A, 1, TRUE) = $E30, VLOOKUP($E30, SwaggerAPI!$A:$H, 5, TRUE), NA()))</f>
        <v>4978</v>
      </c>
      <c r="J30" s="458">
        <f>_xlfn.NUMBERVALUE(IF(VLOOKUP($E30, SwaggerAPI!$A:$A, 1, TRUE) = $E30, VLOOKUP($E30, SwaggerAPI!$A:$H, 6, TRUE), NA()))</f>
        <v>44279</v>
      </c>
      <c r="K30" s="458">
        <f>_xlfn.NUMBERVALUE(IF(VLOOKUP($E30, SwaggerAPI!$A:$A, 1, TRUE) = $E30, VLOOKUP($E30, SwaggerAPI!$A:$H, 7, TRUE), NA()))</f>
        <v>40130</v>
      </c>
      <c r="L30" s="453">
        <f>IF(VLOOKUP($E30, SwaggerAPI!$A:$A, 1, TRUE) = $E30, VLOOKUP($E30, SwaggerAPI!$A:$H, 8, TRUE), NA())</f>
        <v>46305.562068788582</v>
      </c>
      <c r="M30" t="str">
        <f t="shared" si="1"/>
        <v>2026-10-10 21:29:23</v>
      </c>
    </row>
    <row r="31" spans="1:13" ht="16.5" x14ac:dyDescent="0.15">
      <c r="A31" s="80" t="s">
        <v>12</v>
      </c>
      <c r="B31" s="81">
        <v>3</v>
      </c>
      <c r="C31" s="83" t="s">
        <v>17</v>
      </c>
      <c r="D31" s="82" t="s">
        <v>18</v>
      </c>
      <c r="E31" s="83" t="str">
        <f t="shared" si="0"/>
        <v>FINE_ONYX_GEM</v>
      </c>
      <c r="F31" s="455">
        <f>_xlfn.NUMBERVALUE(IF(VLOOKUP($E31, SwaggerAPI!$A:$A, 1, TRUE) = $E31, VLOOKUP($E31, SwaggerAPI!$A:$H, 2, TRUE), NA()))</f>
        <v>25667.982004284699</v>
      </c>
      <c r="G31" s="455">
        <f>_xlfn.NUMBERVALUE(IF(VLOOKUP($E31, SwaggerAPI!$A:$A, 1, TRUE) = $E31, VLOOKUP($E31, SwaggerAPI!$A:$H, 3, TRUE), NA()))</f>
        <v>24462.260454466199</v>
      </c>
      <c r="H31" s="458">
        <f>_xlfn.NUMBERVALUE(IF(VLOOKUP($E31, SwaggerAPI!$A:$A, 1, TRUE) = $E31, VLOOKUP($E31, SwaggerAPI!$A:$H, 4, TRUE), NA()))</f>
        <v>206992</v>
      </c>
      <c r="I31" s="458">
        <f>_xlfn.NUMBERVALUE(IF(VLOOKUP($E31, SwaggerAPI!$A:$A, 1, TRUE) = $E31, VLOOKUP($E31, SwaggerAPI!$A:$H, 5, TRUE), NA()))</f>
        <v>745632</v>
      </c>
      <c r="J31" s="458">
        <f>_xlfn.NUMBERVALUE(IF(VLOOKUP($E31, SwaggerAPI!$A:$A, 1, TRUE) = $E31, VLOOKUP($E31, SwaggerAPI!$A:$H, 6, TRUE), NA()))</f>
        <v>88699</v>
      </c>
      <c r="K31" s="458">
        <f>_xlfn.NUMBERVALUE(IF(VLOOKUP($E31, SwaggerAPI!$A:$A, 1, TRUE) = $E31, VLOOKUP($E31, SwaggerAPI!$A:$H, 7, TRUE), NA()))</f>
        <v>435729</v>
      </c>
      <c r="L31" s="453">
        <f>IF(VLOOKUP($E31, SwaggerAPI!$A:$A, 1, TRUE) = $E31, VLOOKUP($E31, SwaggerAPI!$A:$H, 8, TRUE), NA())</f>
        <v>46305.562068788582</v>
      </c>
      <c r="M31" t="str">
        <f t="shared" si="1"/>
        <v>2026-10-10 21:29:23</v>
      </c>
    </row>
    <row r="32" spans="1:13" ht="16.5" x14ac:dyDescent="0.15">
      <c r="A32" s="80" t="s">
        <v>12</v>
      </c>
      <c r="B32" s="81">
        <v>3</v>
      </c>
      <c r="C32" s="83" t="s">
        <v>47</v>
      </c>
      <c r="D32" s="88" t="s">
        <v>48</v>
      </c>
      <c r="E32" s="83" t="str">
        <f t="shared" si="0"/>
        <v>FINE_JASPER_GEM</v>
      </c>
      <c r="F32" s="455">
        <f>_xlfn.NUMBERVALUE(IF(VLOOKUP($E32, SwaggerAPI!$A:$A, 1, TRUE) = $E32, VLOOKUP($E32, SwaggerAPI!$A:$H, 2, TRUE), NA()))</f>
        <v>63466.537569620203</v>
      </c>
      <c r="G32" s="455">
        <f>_xlfn.NUMBERVALUE(IF(VLOOKUP($E32, SwaggerAPI!$A:$A, 1, TRUE) = $E32, VLOOKUP($E32, SwaggerAPI!$A:$H, 3, TRUE), NA()))</f>
        <v>59345.965375854197</v>
      </c>
      <c r="H32" s="458">
        <f>_xlfn.NUMBERVALUE(IF(VLOOKUP($E32, SwaggerAPI!$A:$A, 1, TRUE) = $E32, VLOOKUP($E32, SwaggerAPI!$A:$H, 4, TRUE), NA()))</f>
        <v>192660</v>
      </c>
      <c r="I32" s="458">
        <f>_xlfn.NUMBERVALUE(IF(VLOOKUP($E32, SwaggerAPI!$A:$A, 1, TRUE) = $E32, VLOOKUP($E32, SwaggerAPI!$A:$H, 5, TRUE), NA()))</f>
        <v>58944</v>
      </c>
      <c r="J32" s="458">
        <f>_xlfn.NUMBERVALUE(IF(VLOOKUP($E32, SwaggerAPI!$A:$A, 1, TRUE) = $E32, VLOOKUP($E32, SwaggerAPI!$A:$H, 6, TRUE), NA()))</f>
        <v>201106</v>
      </c>
      <c r="K32" s="458">
        <f>_xlfn.NUMBERVALUE(IF(VLOOKUP($E32, SwaggerAPI!$A:$A, 1, TRUE) = $E32, VLOOKUP($E32, SwaggerAPI!$A:$H, 7, TRUE), NA()))</f>
        <v>310913</v>
      </c>
      <c r="L32" s="453">
        <f>IF(VLOOKUP($E32, SwaggerAPI!$A:$A, 1, TRUE) = $E32, VLOOKUP($E32, SwaggerAPI!$A:$H, 8, TRUE), NA())</f>
        <v>46305.562068788582</v>
      </c>
      <c r="M32" t="str">
        <f t="shared" si="1"/>
        <v>2026-10-10 21:29:23</v>
      </c>
    </row>
    <row r="33" spans="1:13" ht="16.5" x14ac:dyDescent="0.15">
      <c r="A33" s="80" t="s">
        <v>12</v>
      </c>
      <c r="B33" s="81">
        <v>3</v>
      </c>
      <c r="C33" s="81" t="s">
        <v>40</v>
      </c>
      <c r="D33" s="89" t="s">
        <v>29</v>
      </c>
      <c r="E33" s="83" t="str">
        <f t="shared" si="0"/>
        <v>FINE_JADE_GEM</v>
      </c>
      <c r="F33" s="455">
        <f>_xlfn.NUMBERVALUE(IF(VLOOKUP($E33, SwaggerAPI!$A:$A, 1, TRUE) = $E33, VLOOKUP($E33, SwaggerAPI!$A:$H, 2, TRUE), NA()))</f>
        <v>29556.481941156599</v>
      </c>
      <c r="G33" s="455">
        <f>_xlfn.NUMBERVALUE(IF(VLOOKUP($E33, SwaggerAPI!$A:$A, 1, TRUE) = $E33, VLOOKUP($E33, SwaggerAPI!$A:$H, 3, TRUE), NA()))</f>
        <v>26248.423046488599</v>
      </c>
      <c r="H33" s="458">
        <f>_xlfn.NUMBERVALUE(IF(VLOOKUP($E33, SwaggerAPI!$A:$A, 1, TRUE) = $E33, VLOOKUP($E33, SwaggerAPI!$A:$H, 4, TRUE), NA()))</f>
        <v>123785</v>
      </c>
      <c r="I33" s="458">
        <f>_xlfn.NUMBERVALUE(IF(VLOOKUP($E33, SwaggerAPI!$A:$A, 1, TRUE) = $E33, VLOOKUP($E33, SwaggerAPI!$A:$H, 5, TRUE), NA()))</f>
        <v>20484</v>
      </c>
      <c r="J33" s="458">
        <f>_xlfn.NUMBERVALUE(IF(VLOOKUP($E33, SwaggerAPI!$A:$A, 1, TRUE) = $E33, VLOOKUP($E33, SwaggerAPI!$A:$H, 6, TRUE), NA()))</f>
        <v>337005</v>
      </c>
      <c r="K33" s="458">
        <f>_xlfn.NUMBERVALUE(IF(VLOOKUP($E33, SwaggerAPI!$A:$A, 1, TRUE) = $E33, VLOOKUP($E33, SwaggerAPI!$A:$H, 7, TRUE), NA()))</f>
        <v>405030</v>
      </c>
      <c r="L33" s="453">
        <f>IF(VLOOKUP($E33, SwaggerAPI!$A:$A, 1, TRUE) = $E33, VLOOKUP($E33, SwaggerAPI!$A:$H, 8, TRUE), NA())</f>
        <v>46305.562068788582</v>
      </c>
      <c r="M33" t="str">
        <f t="shared" si="1"/>
        <v>2026-10-10 21:29:23</v>
      </c>
    </row>
    <row r="34" spans="1:13" ht="16.5" x14ac:dyDescent="0.15">
      <c r="A34" s="80" t="s">
        <v>12</v>
      </c>
      <c r="B34" s="81">
        <v>3</v>
      </c>
      <c r="C34" s="81" t="s">
        <v>28</v>
      </c>
      <c r="D34" s="88" t="s">
        <v>29</v>
      </c>
      <c r="E34" s="83" t="str">
        <f t="shared" ref="E34:E61" si="2">_xlfn.CONCAT(A34,"_",C34,"_GEM")</f>
        <v>FINE_CITRINE_GEM</v>
      </c>
      <c r="F34" s="455">
        <f>_xlfn.NUMBERVALUE(IF(VLOOKUP($E34, SwaggerAPI!$A:$A, 1, TRUE) = $E34, VLOOKUP($E34, SwaggerAPI!$A:$H, 2, TRUE), NA()))</f>
        <v>29228.189965397902</v>
      </c>
      <c r="G34" s="455">
        <f>_xlfn.NUMBERVALUE(IF(VLOOKUP($E34, SwaggerAPI!$A:$A, 1, TRUE) = $E34, VLOOKUP($E34, SwaggerAPI!$A:$H, 3, TRUE), NA()))</f>
        <v>24786.475269883202</v>
      </c>
      <c r="H34" s="458">
        <f>_xlfn.NUMBERVALUE(IF(VLOOKUP($E34, SwaggerAPI!$A:$A, 1, TRUE) = $E34, VLOOKUP($E34, SwaggerAPI!$A:$H, 4, TRUE), NA()))</f>
        <v>71882</v>
      </c>
      <c r="I34" s="458">
        <f>_xlfn.NUMBERVALUE(IF(VLOOKUP($E34, SwaggerAPI!$A:$A, 1, TRUE) = $E34, VLOOKUP($E34, SwaggerAPI!$A:$H, 5, TRUE), NA()))</f>
        <v>227745</v>
      </c>
      <c r="J34" s="458">
        <f>_xlfn.NUMBERVALUE(IF(VLOOKUP($E34, SwaggerAPI!$A:$A, 1, TRUE) = $E34, VLOOKUP($E34, SwaggerAPI!$A:$H, 6, TRUE), NA()))</f>
        <v>247894</v>
      </c>
      <c r="K34" s="458">
        <f>_xlfn.NUMBERVALUE(IF(VLOOKUP($E34, SwaggerAPI!$A:$A, 1, TRUE) = $E34, VLOOKUP($E34, SwaggerAPI!$A:$H, 7, TRUE), NA()))</f>
        <v>438535</v>
      </c>
      <c r="L34" s="453">
        <f>IF(VLOOKUP($E34, SwaggerAPI!$A:$A, 1, TRUE) = $E34, VLOOKUP($E34, SwaggerAPI!$A:$H, 8, TRUE), NA())</f>
        <v>46305.562068788582</v>
      </c>
      <c r="M34" t="str">
        <f t="shared" si="1"/>
        <v>2026-10-10 21:29:23</v>
      </c>
    </row>
    <row r="35" spans="1:13" ht="16.5" x14ac:dyDescent="0.15">
      <c r="A35" s="80" t="s">
        <v>12</v>
      </c>
      <c r="B35" s="81">
        <v>3</v>
      </c>
      <c r="C35" s="81" t="s">
        <v>37</v>
      </c>
      <c r="D35" s="90" t="s">
        <v>38</v>
      </c>
      <c r="E35" s="83" t="str">
        <f t="shared" si="2"/>
        <v>FINE_AQUAMARINE_GEM</v>
      </c>
      <c r="F35" s="455">
        <f>_xlfn.NUMBERVALUE(IF(VLOOKUP($E35, SwaggerAPI!$A:$A, 1, TRUE) = $E35, VLOOKUP($E35, SwaggerAPI!$A:$H, 2, TRUE), NA()))</f>
        <v>25694.584910762602</v>
      </c>
      <c r="G35" s="455">
        <f>_xlfn.NUMBERVALUE(IF(VLOOKUP($E35, SwaggerAPI!$A:$A, 1, TRUE) = $E35, VLOOKUP($E35, SwaggerAPI!$A:$H, 3, TRUE), NA()))</f>
        <v>24806.6</v>
      </c>
      <c r="H35" s="458">
        <f>_xlfn.NUMBERVALUE(IF(VLOOKUP($E35, SwaggerAPI!$A:$A, 1, TRUE) = $E35, VLOOKUP($E35, SwaggerAPI!$A:$H, 4, TRUE), NA()))</f>
        <v>86769</v>
      </c>
      <c r="I35" s="458">
        <f>_xlfn.NUMBERVALUE(IF(VLOOKUP($E35, SwaggerAPI!$A:$A, 1, TRUE) = $E35, VLOOKUP($E35, SwaggerAPI!$A:$H, 5, TRUE), NA()))</f>
        <v>306170</v>
      </c>
      <c r="J35" s="458">
        <f>_xlfn.NUMBERVALUE(IF(VLOOKUP($E35, SwaggerAPI!$A:$A, 1, TRUE) = $E35, VLOOKUP($E35, SwaggerAPI!$A:$H, 6, TRUE), NA()))</f>
        <v>132555</v>
      </c>
      <c r="K35" s="458">
        <f>_xlfn.NUMBERVALUE(IF(VLOOKUP($E35, SwaggerAPI!$A:$A, 1, TRUE) = $E35, VLOOKUP($E35, SwaggerAPI!$A:$H, 7, TRUE), NA()))</f>
        <v>448496</v>
      </c>
      <c r="L35" s="453">
        <f>IF(VLOOKUP($E35, SwaggerAPI!$A:$A, 1, TRUE) = $E35, VLOOKUP($E35, SwaggerAPI!$A:$H, 8, TRUE), NA())</f>
        <v>46305.562068788582</v>
      </c>
      <c r="M35" t="str">
        <f t="shared" si="1"/>
        <v>2026-10-10 21:29:23</v>
      </c>
    </row>
    <row r="36" spans="1:13" ht="16.5" x14ac:dyDescent="0.15">
      <c r="A36" s="80" t="s">
        <v>12</v>
      </c>
      <c r="B36" s="81">
        <v>3</v>
      </c>
      <c r="C36" s="81" t="s">
        <v>31</v>
      </c>
      <c r="D36" s="85" t="s">
        <v>32</v>
      </c>
      <c r="E36" s="83" t="str">
        <f t="shared" si="2"/>
        <v>FINE_AMETHYST_GEM</v>
      </c>
      <c r="F36" s="455">
        <f>_xlfn.NUMBERVALUE(IF(VLOOKUP($E36, SwaggerAPI!$A:$A, 1, TRUE) = $E36, VLOOKUP($E36, SwaggerAPI!$A:$H, 2, TRUE), NA()))</f>
        <v>31928.4985358712</v>
      </c>
      <c r="G36" s="455">
        <f>_xlfn.NUMBERVALUE(IF(VLOOKUP($E36, SwaggerAPI!$A:$A, 1, TRUE) = $E36, VLOOKUP($E36, SwaggerAPI!$A:$H, 3, TRUE), NA()))</f>
        <v>29753.160961810499</v>
      </c>
      <c r="H36" s="458">
        <f>_xlfn.NUMBERVALUE(IF(VLOOKUP($E36, SwaggerAPI!$A:$A, 1, TRUE) = $E36, VLOOKUP($E36, SwaggerAPI!$A:$H, 4, TRUE), NA()))</f>
        <v>185253</v>
      </c>
      <c r="I36" s="458">
        <f>_xlfn.NUMBERVALUE(IF(VLOOKUP($E36, SwaggerAPI!$A:$A, 1, TRUE) = $E36, VLOOKUP($E36, SwaggerAPI!$A:$H, 5, TRUE), NA()))</f>
        <v>34359</v>
      </c>
      <c r="J36" s="458">
        <f>_xlfn.NUMBERVALUE(IF(VLOOKUP($E36, SwaggerAPI!$A:$A, 1, TRUE) = $E36, VLOOKUP($E36, SwaggerAPI!$A:$H, 6, TRUE), NA()))</f>
        <v>259453</v>
      </c>
      <c r="K36" s="458">
        <f>_xlfn.NUMBERVALUE(IF(VLOOKUP($E36, SwaggerAPI!$A:$A, 1, TRUE) = $E36, VLOOKUP($E36, SwaggerAPI!$A:$H, 7, TRUE), NA()))</f>
        <v>339099</v>
      </c>
      <c r="L36" s="453">
        <f>IF(VLOOKUP($E36, SwaggerAPI!$A:$A, 1, TRUE) = $E36, VLOOKUP($E36, SwaggerAPI!$A:$H, 8, TRUE), NA())</f>
        <v>46305.562068788582</v>
      </c>
      <c r="M36" t="str">
        <f t="shared" si="1"/>
        <v>2026-10-10 21:29:23</v>
      </c>
    </row>
    <row r="37" spans="1:13" ht="16.5" x14ac:dyDescent="0.15">
      <c r="A37" s="80" t="s">
        <v>12</v>
      </c>
      <c r="B37" s="81">
        <v>3</v>
      </c>
      <c r="C37" s="81" t="s">
        <v>34</v>
      </c>
      <c r="D37" s="82" t="s">
        <v>35</v>
      </c>
      <c r="E37" s="83" t="str">
        <f t="shared" si="2"/>
        <v>FINE_AMBER_GEM</v>
      </c>
      <c r="F37" s="455">
        <f>_xlfn.NUMBERVALUE(IF(VLOOKUP($E37, SwaggerAPI!$A:$A, 1, TRUE) = $E37, VLOOKUP($E37, SwaggerAPI!$A:$H, 2, TRUE), NA()))</f>
        <v>29404.370009372102</v>
      </c>
      <c r="G37" s="455">
        <f>_xlfn.NUMBERVALUE(IF(VLOOKUP($E37, SwaggerAPI!$A:$A, 1, TRUE) = $E37, VLOOKUP($E37, SwaggerAPI!$A:$H, 3, TRUE), NA()))</f>
        <v>26446.101327643399</v>
      </c>
      <c r="H37" s="458">
        <f>_xlfn.NUMBERVALUE(IF(VLOOKUP($E37, SwaggerAPI!$A:$A, 1, TRUE) = $E37, VLOOKUP($E37, SwaggerAPI!$A:$H, 4, TRUE), NA()))</f>
        <v>79207</v>
      </c>
      <c r="I37" s="458">
        <f>_xlfn.NUMBERVALUE(IF(VLOOKUP($E37, SwaggerAPI!$A:$A, 1, TRUE) = $E37, VLOOKUP($E37, SwaggerAPI!$A:$H, 5, TRUE), NA()))</f>
        <v>44571</v>
      </c>
      <c r="J37" s="458">
        <f>_xlfn.NUMBERVALUE(IF(VLOOKUP($E37, SwaggerAPI!$A:$A, 1, TRUE) = $E37, VLOOKUP($E37, SwaggerAPI!$A:$H, 6, TRUE), NA()))</f>
        <v>243496</v>
      </c>
      <c r="K37" s="458">
        <f>_xlfn.NUMBERVALUE(IF(VLOOKUP($E37, SwaggerAPI!$A:$A, 1, TRUE) = $E37, VLOOKUP($E37, SwaggerAPI!$A:$H, 7, TRUE), NA()))</f>
        <v>514552</v>
      </c>
      <c r="L37" s="453">
        <f>IF(VLOOKUP($E37, SwaggerAPI!$A:$A, 1, TRUE) = $E37, VLOOKUP($E37, SwaggerAPI!$A:$H, 8, TRUE), NA())</f>
        <v>46305.562068788582</v>
      </c>
      <c r="M37" t="str">
        <f t="shared" si="1"/>
        <v>2026-10-10 21:29:23</v>
      </c>
    </row>
    <row r="38" spans="1:13" ht="16.5" x14ac:dyDescent="0.15">
      <c r="A38" s="67" t="s">
        <v>11</v>
      </c>
      <c r="B38" s="68">
        <v>2</v>
      </c>
      <c r="C38" s="68" t="s">
        <v>1</v>
      </c>
      <c r="D38" s="69" t="s">
        <v>23</v>
      </c>
      <c r="E38" s="70" t="str">
        <f t="shared" si="2"/>
        <v>FLAWED_TOPAZ_GEM</v>
      </c>
      <c r="F38" s="455">
        <f>_xlfn.NUMBERVALUE(IF(VLOOKUP($E38, SwaggerAPI!$A:$A, 1, TRUE) = $E38, VLOOKUP($E38, SwaggerAPI!$A:$H, 2, TRUE), NA()))</f>
        <v>804.69976359338102</v>
      </c>
      <c r="G38" s="455">
        <f>_xlfn.NUMBERVALUE(IF(VLOOKUP($E38, SwaggerAPI!$A:$A, 1, TRUE) = $E38, VLOOKUP($E38, SwaggerAPI!$A:$H, 3, TRUE), NA()))</f>
        <v>333.78946672351202</v>
      </c>
      <c r="H38" s="458">
        <f>_xlfn.NUMBERVALUE(IF(VLOOKUP($E38, SwaggerAPI!$A:$A, 1, TRUE) = $E38, VLOOKUP($E38, SwaggerAPI!$A:$H, 4, TRUE), NA()))</f>
        <v>10791</v>
      </c>
      <c r="I38" s="458">
        <f>_xlfn.NUMBERVALUE(IF(VLOOKUP($E38, SwaggerAPI!$A:$A, 1, TRUE) = $E38, VLOOKUP($E38, SwaggerAPI!$A:$H, 5, TRUE), NA()))</f>
        <v>11006877</v>
      </c>
      <c r="J38" s="458">
        <f>_xlfn.NUMBERVALUE(IF(VLOOKUP($E38, SwaggerAPI!$A:$A, 1, TRUE) = $E38, VLOOKUP($E38, SwaggerAPI!$A:$H, 6, TRUE), NA()))</f>
        <v>18288</v>
      </c>
      <c r="K38" s="458">
        <f>_xlfn.NUMBERVALUE(IF(VLOOKUP($E38, SwaggerAPI!$A:$A, 1, TRUE) = $E38, VLOOKUP($E38, SwaggerAPI!$A:$H, 7, TRUE), NA()))</f>
        <v>19333086</v>
      </c>
      <c r="L38" s="453">
        <f>IF(VLOOKUP($E38, SwaggerAPI!$A:$A, 1, TRUE) = $E38, VLOOKUP($E38, SwaggerAPI!$A:$H, 8, TRUE), NA())</f>
        <v>46305.562068788582</v>
      </c>
      <c r="M38" t="str">
        <f t="shared" si="1"/>
        <v>2026-10-10 21:29:23</v>
      </c>
    </row>
    <row r="39" spans="1:13" ht="15" x14ac:dyDescent="0.15">
      <c r="A39" s="67" t="s">
        <v>11</v>
      </c>
      <c r="B39" s="68">
        <v>2</v>
      </c>
      <c r="C39" s="68" t="s">
        <v>25</v>
      </c>
      <c r="D39" s="71" t="s">
        <v>26</v>
      </c>
      <c r="E39" s="70" t="str">
        <f t="shared" si="2"/>
        <v>FLAWED_SAPPHIRE_GEM</v>
      </c>
      <c r="F39" s="455">
        <f>_xlfn.NUMBERVALUE(IF(VLOOKUP($E39, SwaggerAPI!$A:$A, 1, TRUE) = $E39, VLOOKUP($E39, SwaggerAPI!$A:$H, 2, TRUE), NA()))</f>
        <v>409.04907565011803</v>
      </c>
      <c r="G39" s="455">
        <f>_xlfn.NUMBERVALUE(IF(VLOOKUP($E39, SwaggerAPI!$A:$A, 1, TRUE) = $E39, VLOOKUP($E39, SwaggerAPI!$A:$H, 3, TRUE), NA()))</f>
        <v>345.47113023945502</v>
      </c>
      <c r="H39" s="458">
        <f>_xlfn.NUMBERVALUE(IF(VLOOKUP($E39, SwaggerAPI!$A:$A, 1, TRUE) = $E39, VLOOKUP($E39, SwaggerAPI!$A:$H, 4, TRUE), NA()))</f>
        <v>1495779</v>
      </c>
      <c r="I39" s="458">
        <f>_xlfn.NUMBERVALUE(IF(VLOOKUP($E39, SwaggerAPI!$A:$A, 1, TRUE) = $E39, VLOOKUP($E39, SwaggerAPI!$A:$H, 5, TRUE), NA()))</f>
        <v>5643311</v>
      </c>
      <c r="J39" s="458">
        <f>_xlfn.NUMBERVALUE(IF(VLOOKUP($E39, SwaggerAPI!$A:$A, 1, TRUE) = $E39, VLOOKUP($E39, SwaggerAPI!$A:$H, 6, TRUE), NA()))</f>
        <v>8927</v>
      </c>
      <c r="K39" s="458">
        <f>_xlfn.NUMBERVALUE(IF(VLOOKUP($E39, SwaggerAPI!$A:$A, 1, TRUE) = $E39, VLOOKUP($E39, SwaggerAPI!$A:$H, 7, TRUE), NA()))</f>
        <v>21043533</v>
      </c>
      <c r="L39" s="453">
        <f>IF(VLOOKUP($E39, SwaggerAPI!$A:$A, 1, TRUE) = $E39, VLOOKUP($E39, SwaggerAPI!$A:$H, 8, TRUE), NA())</f>
        <v>46305.562068788582</v>
      </c>
      <c r="M39" t="str">
        <f t="shared" si="1"/>
        <v>2026-10-10 21:29:23</v>
      </c>
    </row>
    <row r="40" spans="1:13" ht="16.5" x14ac:dyDescent="0.15">
      <c r="A40" s="67" t="s">
        <v>11</v>
      </c>
      <c r="B40" s="68">
        <v>2</v>
      </c>
      <c r="C40" s="70" t="s">
        <v>42</v>
      </c>
      <c r="D40" s="72" t="s">
        <v>43</v>
      </c>
      <c r="E40" s="70" t="str">
        <f t="shared" si="2"/>
        <v>FLAWED_RUBY_GEM</v>
      </c>
      <c r="F40" s="455">
        <f>_xlfn.NUMBERVALUE(IF(VLOOKUP($E40, SwaggerAPI!$A:$A, 1, TRUE) = $E40, VLOOKUP($E40, SwaggerAPI!$A:$H, 2, TRUE), NA()))</f>
        <v>596.9</v>
      </c>
      <c r="G40" s="455">
        <f>_xlfn.NUMBERVALUE(IF(VLOOKUP($E40, SwaggerAPI!$A:$A, 1, TRUE) = $E40, VLOOKUP($E40, SwaggerAPI!$A:$H, 3, TRUE), NA()))</f>
        <v>271.56202337728502</v>
      </c>
      <c r="H40" s="458">
        <f>_xlfn.NUMBERVALUE(IF(VLOOKUP($E40, SwaggerAPI!$A:$A, 1, TRUE) = $E40, VLOOKUP($E40, SwaggerAPI!$A:$H, 4, TRUE), NA()))</f>
        <v>10583</v>
      </c>
      <c r="I40" s="458">
        <f>_xlfn.NUMBERVALUE(IF(VLOOKUP($E40, SwaggerAPI!$A:$A, 1, TRUE) = $E40, VLOOKUP($E40, SwaggerAPI!$A:$H, 5, TRUE), NA()))</f>
        <v>13797103</v>
      </c>
      <c r="J40" s="458">
        <f>_xlfn.NUMBERVALUE(IF(VLOOKUP($E40, SwaggerAPI!$A:$A, 1, TRUE) = $E40, VLOOKUP($E40, SwaggerAPI!$A:$H, 6, TRUE), NA()))</f>
        <v>232384</v>
      </c>
      <c r="K40" s="458">
        <f>_xlfn.NUMBERVALUE(IF(VLOOKUP($E40, SwaggerAPI!$A:$A, 1, TRUE) = $E40, VLOOKUP($E40, SwaggerAPI!$A:$H, 7, TRUE), NA()))</f>
        <v>9826900</v>
      </c>
      <c r="L40" s="453">
        <f>IF(VLOOKUP($E40, SwaggerAPI!$A:$A, 1, TRUE) = $E40, VLOOKUP($E40, SwaggerAPI!$A:$H, 8, TRUE), NA())</f>
        <v>46305.562068788582</v>
      </c>
      <c r="M40" t="str">
        <f t="shared" si="1"/>
        <v>2026-10-10 21:29:23</v>
      </c>
    </row>
    <row r="41" spans="1:13" ht="16.5" x14ac:dyDescent="0.15">
      <c r="A41" s="67" t="s">
        <v>11</v>
      </c>
      <c r="B41" s="68">
        <v>2</v>
      </c>
      <c r="C41" s="73" t="s">
        <v>116</v>
      </c>
      <c r="D41" s="74" t="s">
        <v>29</v>
      </c>
      <c r="E41" s="70" t="str">
        <f t="shared" si="2"/>
        <v>FLAWED_PERIDOT_GEM</v>
      </c>
      <c r="F41" s="455">
        <f>_xlfn.NUMBERVALUE(IF(VLOOKUP($E41, SwaggerAPI!$A:$A, 1, TRUE) = $E41, VLOOKUP($E41, SwaggerAPI!$A:$H, 2, TRUE), NA()))</f>
        <v>437.13934930003398</v>
      </c>
      <c r="G41" s="455">
        <f>_xlfn.NUMBERVALUE(IF(VLOOKUP($E41, SwaggerAPI!$A:$A, 1, TRUE) = $E41, VLOOKUP($E41, SwaggerAPI!$A:$H, 3, TRUE), NA()))</f>
        <v>359.84615091227698</v>
      </c>
      <c r="H41" s="458">
        <f>_xlfn.NUMBERVALUE(IF(VLOOKUP($E41, SwaggerAPI!$A:$A, 1, TRUE) = $E41, VLOOKUP($E41, SwaggerAPI!$A:$H, 4, TRUE), NA()))</f>
        <v>163503</v>
      </c>
      <c r="I41" s="458">
        <f>_xlfn.NUMBERVALUE(IF(VLOOKUP($E41, SwaggerAPI!$A:$A, 1, TRUE) = $E41, VLOOKUP($E41, SwaggerAPI!$A:$H, 5, TRUE), NA()))</f>
        <v>7556028</v>
      </c>
      <c r="J41" s="458">
        <f>_xlfn.NUMBERVALUE(IF(VLOOKUP($E41, SwaggerAPI!$A:$A, 1, TRUE) = $E41, VLOOKUP($E41, SwaggerAPI!$A:$H, 6, TRUE), NA()))</f>
        <v>27121</v>
      </c>
      <c r="K41" s="458">
        <f>_xlfn.NUMBERVALUE(IF(VLOOKUP($E41, SwaggerAPI!$A:$A, 1, TRUE) = $E41, VLOOKUP($E41, SwaggerAPI!$A:$H, 7, TRUE), NA()))</f>
        <v>16062978</v>
      </c>
      <c r="L41" s="453">
        <f>IF(VLOOKUP($E41, SwaggerAPI!$A:$A, 1, TRUE) = $E41, VLOOKUP($E41, SwaggerAPI!$A:$H, 8, TRUE), NA())</f>
        <v>46305.562068788582</v>
      </c>
      <c r="M41" t="str">
        <f t="shared" si="1"/>
        <v>2026-10-10 21:29:23</v>
      </c>
    </row>
    <row r="42" spans="1:13" ht="16.5" x14ac:dyDescent="0.15">
      <c r="A42" s="67" t="s">
        <v>11</v>
      </c>
      <c r="B42" s="68">
        <v>2</v>
      </c>
      <c r="C42" s="70" t="s">
        <v>20</v>
      </c>
      <c r="D42" s="75" t="s">
        <v>21</v>
      </c>
      <c r="E42" s="70" t="str">
        <f t="shared" si="2"/>
        <v>FLAWED_OPAL_GEM</v>
      </c>
      <c r="F42" s="455">
        <f>_xlfn.NUMBERVALUE(IF(VLOOKUP($E42, SwaggerAPI!$A:$A, 1, TRUE) = $E42, VLOOKUP($E42, SwaggerAPI!$A:$H, 2, TRUE), NA()))</f>
        <v>999.2</v>
      </c>
      <c r="G42" s="455">
        <f>_xlfn.NUMBERVALUE(IF(VLOOKUP($E42, SwaggerAPI!$A:$A, 1, TRUE) = $E42, VLOOKUP($E42, SwaggerAPI!$A:$H, 3, TRUE), NA()))</f>
        <v>278.10000000000002</v>
      </c>
      <c r="H42" s="458">
        <f>_xlfn.NUMBERVALUE(IF(VLOOKUP($E42, SwaggerAPI!$A:$A, 1, TRUE) = $E42, VLOOKUP($E42, SwaggerAPI!$A:$H, 4, TRUE), NA()))</f>
        <v>4259</v>
      </c>
      <c r="I42" s="458">
        <f>_xlfn.NUMBERVALUE(IF(VLOOKUP($E42, SwaggerAPI!$A:$A, 1, TRUE) = $E42, VLOOKUP($E42, SwaggerAPI!$A:$H, 5, TRUE), NA()))</f>
        <v>13469935</v>
      </c>
      <c r="J42" s="458">
        <f>_xlfn.NUMBERVALUE(IF(VLOOKUP($E42, SwaggerAPI!$A:$A, 1, TRUE) = $E42, VLOOKUP($E42, SwaggerAPI!$A:$H, 6, TRUE), NA()))</f>
        <v>28700</v>
      </c>
      <c r="K42" s="458">
        <f>_xlfn.NUMBERVALUE(IF(VLOOKUP($E42, SwaggerAPI!$A:$A, 1, TRUE) = $E42, VLOOKUP($E42, SwaggerAPI!$A:$H, 7, TRUE), NA()))</f>
        <v>6667050</v>
      </c>
      <c r="L42" s="453">
        <f>IF(VLOOKUP($E42, SwaggerAPI!$A:$A, 1, TRUE) = $E42, VLOOKUP($E42, SwaggerAPI!$A:$H, 8, TRUE), NA())</f>
        <v>46305.562068788582</v>
      </c>
      <c r="M42" t="str">
        <f t="shared" si="1"/>
        <v>2026-10-10 21:29:23</v>
      </c>
    </row>
    <row r="43" spans="1:13" ht="16.5" x14ac:dyDescent="0.15">
      <c r="A43" s="67" t="s">
        <v>11</v>
      </c>
      <c r="B43" s="68">
        <v>2</v>
      </c>
      <c r="C43" s="68" t="s">
        <v>17</v>
      </c>
      <c r="D43" s="76" t="s">
        <v>18</v>
      </c>
      <c r="E43" s="70" t="str">
        <f t="shared" si="2"/>
        <v>FLAWED_ONYX_GEM</v>
      </c>
      <c r="F43" s="455">
        <f>_xlfn.NUMBERVALUE(IF(VLOOKUP($E43, SwaggerAPI!$A:$A, 1, TRUE) = $E43, VLOOKUP($E43, SwaggerAPI!$A:$H, 2, TRUE), NA()))</f>
        <v>974.532545216823</v>
      </c>
      <c r="G43" s="455">
        <f>_xlfn.NUMBERVALUE(IF(VLOOKUP($E43, SwaggerAPI!$A:$A, 1, TRUE) = $E43, VLOOKUP($E43, SwaggerAPI!$A:$H, 3, TRUE), NA()))</f>
        <v>297.44150404447902</v>
      </c>
      <c r="H43" s="458">
        <f>_xlfn.NUMBERVALUE(IF(VLOOKUP($E43, SwaggerAPI!$A:$A, 1, TRUE) = $E43, VLOOKUP($E43, SwaggerAPI!$A:$H, 4, TRUE), NA()))</f>
        <v>370551</v>
      </c>
      <c r="I43" s="458">
        <f>_xlfn.NUMBERVALUE(IF(VLOOKUP($E43, SwaggerAPI!$A:$A, 1, TRUE) = $E43, VLOOKUP($E43, SwaggerAPI!$A:$H, 5, TRUE), NA()))</f>
        <v>10425712</v>
      </c>
      <c r="J43" s="458">
        <f>_xlfn.NUMBERVALUE(IF(VLOOKUP($E43, SwaggerAPI!$A:$A, 1, TRUE) = $E43, VLOOKUP($E43, SwaggerAPI!$A:$H, 6, TRUE), NA()))</f>
        <v>27079</v>
      </c>
      <c r="K43" s="458">
        <f>_xlfn.NUMBERVALUE(IF(VLOOKUP($E43, SwaggerAPI!$A:$A, 1, TRUE) = $E43, VLOOKUP($E43, SwaggerAPI!$A:$H, 7, TRUE), NA()))</f>
        <v>11198507</v>
      </c>
      <c r="L43" s="453">
        <f>IF(VLOOKUP($E43, SwaggerAPI!$A:$A, 1, TRUE) = $E43, VLOOKUP($E43, SwaggerAPI!$A:$H, 8, TRUE), NA())</f>
        <v>46305.562068788582</v>
      </c>
      <c r="M43" t="str">
        <f t="shared" si="1"/>
        <v>2026-10-10 21:29:23</v>
      </c>
    </row>
    <row r="44" spans="1:13" ht="16.5" x14ac:dyDescent="0.15">
      <c r="A44" s="67" t="s">
        <v>11</v>
      </c>
      <c r="B44" s="68">
        <v>2</v>
      </c>
      <c r="C44" s="68" t="s">
        <v>47</v>
      </c>
      <c r="D44" s="77" t="s">
        <v>48</v>
      </c>
      <c r="E44" s="70" t="str">
        <f t="shared" si="2"/>
        <v>FLAWED_JASPER_GEM</v>
      </c>
      <c r="F44" s="455">
        <f>_xlfn.NUMBERVALUE(IF(VLOOKUP($E44, SwaggerAPI!$A:$A, 1, TRUE) = $E44, VLOOKUP($E44, SwaggerAPI!$A:$H, 2, TRUE), NA()))</f>
        <v>1197.1194960549799</v>
      </c>
      <c r="G44" s="455">
        <f>_xlfn.NUMBERVALUE(IF(VLOOKUP($E44, SwaggerAPI!$A:$A, 1, TRUE) = $E44, VLOOKUP($E44, SwaggerAPI!$A:$H, 3, TRUE), NA()))</f>
        <v>652.82629618997498</v>
      </c>
      <c r="H44" s="458">
        <f>_xlfn.NUMBERVALUE(IF(VLOOKUP($E44, SwaggerAPI!$A:$A, 1, TRUE) = $E44, VLOOKUP($E44, SwaggerAPI!$A:$H, 4, TRUE), NA()))</f>
        <v>559070</v>
      </c>
      <c r="I44" s="458">
        <f>_xlfn.NUMBERVALUE(IF(VLOOKUP($E44, SwaggerAPI!$A:$A, 1, TRUE) = $E44, VLOOKUP($E44, SwaggerAPI!$A:$H, 5, TRUE), NA()))</f>
        <v>11807996</v>
      </c>
      <c r="J44" s="458">
        <f>_xlfn.NUMBERVALUE(IF(VLOOKUP($E44, SwaggerAPI!$A:$A, 1, TRUE) = $E44, VLOOKUP($E44, SwaggerAPI!$A:$H, 6, TRUE), NA()))</f>
        <v>39110</v>
      </c>
      <c r="K44" s="458">
        <f>_xlfn.NUMBERVALUE(IF(VLOOKUP($E44, SwaggerAPI!$A:$A, 1, TRUE) = $E44, VLOOKUP($E44, SwaggerAPI!$A:$H, 7, TRUE), NA()))</f>
        <v>6714718</v>
      </c>
      <c r="L44" s="453">
        <f>IF(VLOOKUP($E44, SwaggerAPI!$A:$A, 1, TRUE) = $E44, VLOOKUP($E44, SwaggerAPI!$A:$H, 8, TRUE), NA())</f>
        <v>46305.562068788582</v>
      </c>
      <c r="M44" t="str">
        <f t="shared" si="1"/>
        <v>2026-10-10 21:29:23</v>
      </c>
    </row>
    <row r="45" spans="1:13" ht="16.5" x14ac:dyDescent="0.15">
      <c r="A45" s="67" t="s">
        <v>11</v>
      </c>
      <c r="B45" s="68">
        <v>2</v>
      </c>
      <c r="C45" s="68" t="s">
        <v>40</v>
      </c>
      <c r="D45" s="74" t="s">
        <v>29</v>
      </c>
      <c r="E45" s="70" t="str">
        <f t="shared" si="2"/>
        <v>FLAWED_JADE_GEM</v>
      </c>
      <c r="F45" s="455">
        <f>_xlfn.NUMBERVALUE(IF(VLOOKUP($E45, SwaggerAPI!$A:$A, 1, TRUE) = $E45, VLOOKUP($E45, SwaggerAPI!$A:$H, 2, TRUE), NA()))</f>
        <v>1574.5763696128599</v>
      </c>
      <c r="G45" s="455">
        <f>_xlfn.NUMBERVALUE(IF(VLOOKUP($E45, SwaggerAPI!$A:$A, 1, TRUE) = $E45, VLOOKUP($E45, SwaggerAPI!$A:$H, 3, TRUE), NA()))</f>
        <v>330.51522469143202</v>
      </c>
      <c r="H45" s="458">
        <f>_xlfn.NUMBERVALUE(IF(VLOOKUP($E45, SwaggerAPI!$A:$A, 1, TRUE) = $E45, VLOOKUP($E45, SwaggerAPI!$A:$H, 4, TRUE), NA()))</f>
        <v>57325</v>
      </c>
      <c r="I45" s="458">
        <f>_xlfn.NUMBERVALUE(IF(VLOOKUP($E45, SwaggerAPI!$A:$A, 1, TRUE) = $E45, VLOOKUP($E45, SwaggerAPI!$A:$H, 5, TRUE), NA()))</f>
        <v>13989054</v>
      </c>
      <c r="J45" s="458">
        <f>_xlfn.NUMBERVALUE(IF(VLOOKUP($E45, SwaggerAPI!$A:$A, 1, TRUE) = $E45, VLOOKUP($E45, SwaggerAPI!$A:$H, 6, TRUE), NA()))</f>
        <v>50015</v>
      </c>
      <c r="K45" s="458">
        <f>_xlfn.NUMBERVALUE(IF(VLOOKUP($E45, SwaggerAPI!$A:$A, 1, TRUE) = $E45, VLOOKUP($E45, SwaggerAPI!$A:$H, 7, TRUE), NA()))</f>
        <v>18663491</v>
      </c>
      <c r="L45" s="453">
        <f>IF(VLOOKUP($E45, SwaggerAPI!$A:$A, 1, TRUE) = $E45, VLOOKUP($E45, SwaggerAPI!$A:$H, 8, TRUE), NA())</f>
        <v>46305.562068788582</v>
      </c>
      <c r="M45" t="str">
        <f t="shared" si="1"/>
        <v>2026-10-10 21:29:23</v>
      </c>
    </row>
    <row r="46" spans="1:13" ht="16.5" x14ac:dyDescent="0.15">
      <c r="A46" s="67" t="s">
        <v>11</v>
      </c>
      <c r="B46" s="68">
        <v>2</v>
      </c>
      <c r="C46" s="68" t="s">
        <v>28</v>
      </c>
      <c r="D46" s="69" t="s">
        <v>29</v>
      </c>
      <c r="E46" s="70" t="str">
        <f t="shared" si="2"/>
        <v>FLAWED_CITRINE_GEM</v>
      </c>
      <c r="F46" s="455">
        <f>_xlfn.NUMBERVALUE(IF(VLOOKUP($E46, SwaggerAPI!$A:$A, 1, TRUE) = $E46, VLOOKUP($E46, SwaggerAPI!$A:$H, 2, TRUE), NA()))</f>
        <v>1559.6602158948699</v>
      </c>
      <c r="G46" s="455">
        <f>_xlfn.NUMBERVALUE(IF(VLOOKUP($E46, SwaggerAPI!$A:$A, 1, TRUE) = $E46, VLOOKUP($E46, SwaggerAPI!$A:$H, 3, TRUE), NA()))</f>
        <v>284.86182736812299</v>
      </c>
      <c r="H46" s="458">
        <f>_xlfn.NUMBERVALUE(IF(VLOOKUP($E46, SwaggerAPI!$A:$A, 1, TRUE) = $E46, VLOOKUP($E46, SwaggerAPI!$A:$H, 4, TRUE), NA()))</f>
        <v>752984</v>
      </c>
      <c r="I46" s="458">
        <f>_xlfn.NUMBERVALUE(IF(VLOOKUP($E46, SwaggerAPI!$A:$A, 1, TRUE) = $E46, VLOOKUP($E46, SwaggerAPI!$A:$H, 5, TRUE), NA()))</f>
        <v>4764233</v>
      </c>
      <c r="J46" s="458">
        <f>_xlfn.NUMBERVALUE(IF(VLOOKUP($E46, SwaggerAPI!$A:$A, 1, TRUE) = $E46, VLOOKUP($E46, SwaggerAPI!$A:$H, 6, TRUE), NA()))</f>
        <v>14127</v>
      </c>
      <c r="K46" s="458">
        <f>_xlfn.NUMBERVALUE(IF(VLOOKUP($E46, SwaggerAPI!$A:$A, 1, TRUE) = $E46, VLOOKUP($E46, SwaggerAPI!$A:$H, 7, TRUE), NA()))</f>
        <v>10850199</v>
      </c>
      <c r="L46" s="453">
        <f>IF(VLOOKUP($E46, SwaggerAPI!$A:$A, 1, TRUE) = $E46, VLOOKUP($E46, SwaggerAPI!$A:$H, 8, TRUE), NA())</f>
        <v>46305.562068788582</v>
      </c>
      <c r="M46" t="str">
        <f t="shared" si="1"/>
        <v>2026-10-10 21:29:23</v>
      </c>
    </row>
    <row r="47" spans="1:13" ht="16.5" x14ac:dyDescent="0.15">
      <c r="A47" s="67" t="s">
        <v>11</v>
      </c>
      <c r="B47" s="68">
        <v>2</v>
      </c>
      <c r="C47" s="70" t="s">
        <v>37</v>
      </c>
      <c r="D47" s="78" t="s">
        <v>38</v>
      </c>
      <c r="E47" s="70" t="str">
        <f t="shared" si="2"/>
        <v>FLAWED_AQUAMARINE_GEM</v>
      </c>
      <c r="F47" s="455">
        <f>_xlfn.NUMBERVALUE(IF(VLOOKUP($E47, SwaggerAPI!$A:$A, 1, TRUE) = $E47, VLOOKUP($E47, SwaggerAPI!$A:$H, 2, TRUE), NA()))</f>
        <v>399.94314445096899</v>
      </c>
      <c r="G47" s="455">
        <f>_xlfn.NUMBERVALUE(IF(VLOOKUP($E47, SwaggerAPI!$A:$A, 1, TRUE) = $E47, VLOOKUP($E47, SwaggerAPI!$A:$H, 3, TRUE), NA()))</f>
        <v>291.43301498004797</v>
      </c>
      <c r="H47" s="458">
        <f>_xlfn.NUMBERVALUE(IF(VLOOKUP($E47, SwaggerAPI!$A:$A, 1, TRUE) = $E47, VLOOKUP($E47, SwaggerAPI!$A:$H, 4, TRUE), NA()))</f>
        <v>1923156</v>
      </c>
      <c r="I47" s="458">
        <f>_xlfn.NUMBERVALUE(IF(VLOOKUP($E47, SwaggerAPI!$A:$A, 1, TRUE) = $E47, VLOOKUP($E47, SwaggerAPI!$A:$H, 5, TRUE), NA()))</f>
        <v>2021289</v>
      </c>
      <c r="J47" s="458">
        <f>_xlfn.NUMBERVALUE(IF(VLOOKUP($E47, SwaggerAPI!$A:$A, 1, TRUE) = $E47, VLOOKUP($E47, SwaggerAPI!$A:$H, 6, TRUE), NA()))</f>
        <v>6066</v>
      </c>
      <c r="K47" s="458">
        <f>_xlfn.NUMBERVALUE(IF(VLOOKUP($E47, SwaggerAPI!$A:$A, 1, TRUE) = $E47, VLOOKUP($E47, SwaggerAPI!$A:$H, 7, TRUE), NA()))</f>
        <v>11150441</v>
      </c>
      <c r="L47" s="453">
        <f>IF(VLOOKUP($E47, SwaggerAPI!$A:$A, 1, TRUE) = $E47, VLOOKUP($E47, SwaggerAPI!$A:$H, 8, TRUE), NA())</f>
        <v>46305.562068788582</v>
      </c>
      <c r="M47" t="str">
        <f t="shared" si="1"/>
        <v>2026-10-10 21:29:23</v>
      </c>
    </row>
    <row r="48" spans="1:13" ht="16.5" x14ac:dyDescent="0.15">
      <c r="A48" s="67" t="s">
        <v>11</v>
      </c>
      <c r="B48" s="68">
        <v>2</v>
      </c>
      <c r="C48" s="68" t="s">
        <v>31</v>
      </c>
      <c r="D48" s="79" t="s">
        <v>32</v>
      </c>
      <c r="E48" s="70" t="str">
        <f t="shared" si="2"/>
        <v>FLAWED_AMETHYST_GEM</v>
      </c>
      <c r="F48" s="455">
        <f>_xlfn.NUMBERVALUE(IF(VLOOKUP($E48, SwaggerAPI!$A:$A, 1, TRUE) = $E48, VLOOKUP($E48, SwaggerAPI!$A:$H, 2, TRUE), NA()))</f>
        <v>449.036363636364</v>
      </c>
      <c r="G48" s="455">
        <f>_xlfn.NUMBERVALUE(IF(VLOOKUP($E48, SwaggerAPI!$A:$A, 1, TRUE) = $E48, VLOOKUP($E48, SwaggerAPI!$A:$H, 3, TRUE), NA()))</f>
        <v>340.40882759882498</v>
      </c>
      <c r="H48" s="458">
        <f>_xlfn.NUMBERVALUE(IF(VLOOKUP($E48, SwaggerAPI!$A:$A, 1, TRUE) = $E48, VLOOKUP($E48, SwaggerAPI!$A:$H, 4, TRUE), NA()))</f>
        <v>4356</v>
      </c>
      <c r="I48" s="458">
        <f>_xlfn.NUMBERVALUE(IF(VLOOKUP($E48, SwaggerAPI!$A:$A, 1, TRUE) = $E48, VLOOKUP($E48, SwaggerAPI!$A:$H, 5, TRUE), NA()))</f>
        <v>3682468</v>
      </c>
      <c r="J48" s="458">
        <f>_xlfn.NUMBERVALUE(IF(VLOOKUP($E48, SwaggerAPI!$A:$A, 1, TRUE) = $E48, VLOOKUP($E48, SwaggerAPI!$A:$H, 6, TRUE), NA()))</f>
        <v>78516</v>
      </c>
      <c r="K48" s="458">
        <f>_xlfn.NUMBERVALUE(IF(VLOOKUP($E48, SwaggerAPI!$A:$A, 1, TRUE) = $E48, VLOOKUP($E48, SwaggerAPI!$A:$H, 7, TRUE), NA()))</f>
        <v>14074565</v>
      </c>
      <c r="L48" s="453">
        <f>IF(VLOOKUP($E48, SwaggerAPI!$A:$A, 1, TRUE) = $E48, VLOOKUP($E48, SwaggerAPI!$A:$H, 8, TRUE), NA())</f>
        <v>46305.562068788582</v>
      </c>
      <c r="M48" t="str">
        <f t="shared" si="1"/>
        <v>2026-10-10 21:29:23</v>
      </c>
    </row>
    <row r="49" spans="1:14" ht="16.5" x14ac:dyDescent="0.15">
      <c r="A49" s="67" t="s">
        <v>11</v>
      </c>
      <c r="B49" s="68">
        <v>2</v>
      </c>
      <c r="C49" s="68" t="s">
        <v>34</v>
      </c>
      <c r="D49" s="79" t="s">
        <v>35</v>
      </c>
      <c r="E49" s="70" t="str">
        <f t="shared" si="2"/>
        <v>FLAWED_AMBER_GEM</v>
      </c>
      <c r="F49" s="455">
        <f>_xlfn.NUMBERVALUE(IF(VLOOKUP($E49, SwaggerAPI!$A:$A, 1, TRUE) = $E49, VLOOKUP($E49, SwaggerAPI!$A:$H, 2, TRUE), NA()))</f>
        <v>424.49988891550998</v>
      </c>
      <c r="G49" s="455">
        <f>_xlfn.NUMBERVALUE(IF(VLOOKUP($E49, SwaggerAPI!$A:$A, 1, TRUE) = $E49, VLOOKUP($E49, SwaggerAPI!$A:$H, 3, TRUE), NA()))</f>
        <v>298.79498952938599</v>
      </c>
      <c r="H49" s="458">
        <f>_xlfn.NUMBERVALUE(IF(VLOOKUP($E49, SwaggerAPI!$A:$A, 1, TRUE) = $E49, VLOOKUP($E49, SwaggerAPI!$A:$H, 4, TRUE), NA()))</f>
        <v>369474</v>
      </c>
      <c r="I49" s="458">
        <f>_xlfn.NUMBERVALUE(IF(VLOOKUP($E49, SwaggerAPI!$A:$A, 1, TRUE) = $E49, VLOOKUP($E49, SwaggerAPI!$A:$H, 5, TRUE), NA()))</f>
        <v>6000615</v>
      </c>
      <c r="J49" s="458">
        <f>_xlfn.NUMBERVALUE(IF(VLOOKUP($E49, SwaggerAPI!$A:$A, 1, TRUE) = $E49, VLOOKUP($E49, SwaggerAPI!$A:$H, 6, TRUE), NA()))</f>
        <v>39187</v>
      </c>
      <c r="K49" s="458">
        <f>_xlfn.NUMBERVALUE(IF(VLOOKUP($E49, SwaggerAPI!$A:$A, 1, TRUE) = $E49, VLOOKUP($E49, SwaggerAPI!$A:$H, 7, TRUE), NA()))</f>
        <v>17571287</v>
      </c>
      <c r="L49" s="453">
        <f>IF(VLOOKUP($E49, SwaggerAPI!$A:$A, 1, TRUE) = $E49, VLOOKUP($E49, SwaggerAPI!$A:$H, 8, TRUE), NA())</f>
        <v>46305.562068788582</v>
      </c>
      <c r="M49" t="str">
        <f t="shared" si="1"/>
        <v>2026-10-10 21:29:23</v>
      </c>
    </row>
    <row r="50" spans="1:14" ht="16.5" x14ac:dyDescent="0.15">
      <c r="A50" s="36" t="s">
        <v>10</v>
      </c>
      <c r="B50" s="37">
        <v>1</v>
      </c>
      <c r="C50" s="37" t="s">
        <v>1</v>
      </c>
      <c r="D50" s="38" t="s">
        <v>23</v>
      </c>
      <c r="E50" s="39" t="str">
        <f t="shared" si="2"/>
        <v>ROUGH_TOPAZ_GEM</v>
      </c>
      <c r="F50" s="455">
        <f>_xlfn.NUMBERVALUE(IF(VLOOKUP($E50, SwaggerAPI!$A:$A, 1, TRUE) = $E50, VLOOKUP($E50, SwaggerAPI!$A:$H, 2, TRUE), NA()))</f>
        <v>5.6340713738258001</v>
      </c>
      <c r="G50" s="455">
        <f>_xlfn.NUMBERVALUE(IF(VLOOKUP($E50, SwaggerAPI!$A:$A, 1, TRUE) = $E50, VLOOKUP($E50, SwaggerAPI!$A:$H, 3, TRUE), NA()))</f>
        <v>1</v>
      </c>
      <c r="H50" s="458">
        <f>_xlfn.NUMBERVALUE(IF(VLOOKUP($E50, SwaggerAPI!$A:$A, 1, TRUE) = $E50, VLOOKUP($E50, SwaggerAPI!$A:$H, 4, TRUE), NA()))</f>
        <v>14150932</v>
      </c>
      <c r="I50" s="458">
        <f>_xlfn.NUMBERVALUE(IF(VLOOKUP($E50, SwaggerAPI!$A:$A, 1, TRUE) = $E50, VLOOKUP($E50, SwaggerAPI!$A:$H, 5, TRUE), NA()))</f>
        <v>1999182</v>
      </c>
      <c r="J50" s="458">
        <f>_xlfn.NUMBERVALUE(IF(VLOOKUP($E50, SwaggerAPI!$A:$A, 1, TRUE) = $E50, VLOOKUP($E50, SwaggerAPI!$A:$H, 6, TRUE), NA()))</f>
        <v>1232977</v>
      </c>
      <c r="K50" s="458">
        <f>_xlfn.NUMBERVALUE(IF(VLOOKUP($E50, SwaggerAPI!$A:$A, 1, TRUE) = $E50, VLOOKUP($E50, SwaggerAPI!$A:$H, 7, TRUE), NA()))</f>
        <v>285226788</v>
      </c>
      <c r="L50" s="453">
        <f>IF(VLOOKUP($E50, SwaggerAPI!$A:$A, 1, TRUE) = $E50, VLOOKUP($E50, SwaggerAPI!$A:$H, 8, TRUE), NA())</f>
        <v>46305.562068788582</v>
      </c>
      <c r="M50" t="str">
        <f t="shared" si="1"/>
        <v>2026-10-10 21:29:23</v>
      </c>
    </row>
    <row r="51" spans="1:14" ht="16.5" x14ac:dyDescent="0.15">
      <c r="A51" s="36" t="s">
        <v>10</v>
      </c>
      <c r="B51" s="37">
        <v>1</v>
      </c>
      <c r="C51" s="37" t="s">
        <v>25</v>
      </c>
      <c r="D51" s="40" t="s">
        <v>26</v>
      </c>
      <c r="E51" s="39" t="str">
        <f t="shared" si="2"/>
        <v>ROUGH_SAPPHIRE_GEM</v>
      </c>
      <c r="F51" s="455">
        <f>_xlfn.NUMBERVALUE(IF(VLOOKUP($E51, SwaggerAPI!$A:$A, 1, TRUE) = $E51, VLOOKUP($E51, SwaggerAPI!$A:$H, 2, TRUE), NA()))</f>
        <v>27.8777840648196</v>
      </c>
      <c r="G51" s="455">
        <f>_xlfn.NUMBERVALUE(IF(VLOOKUP($E51, SwaggerAPI!$A:$A, 1, TRUE) = $E51, VLOOKUP($E51, SwaggerAPI!$A:$H, 3, TRUE), NA()))</f>
        <v>4.2</v>
      </c>
      <c r="H51" s="458">
        <f>_xlfn.NUMBERVALUE(IF(VLOOKUP($E51, SwaggerAPI!$A:$A, 1, TRUE) = $E51, VLOOKUP($E51, SwaggerAPI!$A:$H, 4, TRUE), NA()))</f>
        <v>36279848</v>
      </c>
      <c r="I51" s="458">
        <f>_xlfn.NUMBERVALUE(IF(VLOOKUP($E51, SwaggerAPI!$A:$A, 1, TRUE) = $E51, VLOOKUP($E51, SwaggerAPI!$A:$H, 5, TRUE), NA()))</f>
        <v>4106028</v>
      </c>
      <c r="J51" s="458">
        <f>_xlfn.NUMBERVALUE(IF(VLOOKUP($E51, SwaggerAPI!$A:$A, 1, TRUE) = $E51, VLOOKUP($E51, SwaggerAPI!$A:$H, 6, TRUE), NA()))</f>
        <v>666927</v>
      </c>
      <c r="K51" s="458">
        <f>_xlfn.NUMBERVALUE(IF(VLOOKUP($E51, SwaggerAPI!$A:$A, 1, TRUE) = $E51, VLOOKUP($E51, SwaggerAPI!$A:$H, 7, TRUE), NA()))</f>
        <v>350487401</v>
      </c>
      <c r="L51" s="453">
        <f>IF(VLOOKUP($E51, SwaggerAPI!$A:$A, 1, TRUE) = $E51, VLOOKUP($E51, SwaggerAPI!$A:$H, 8, TRUE), NA())</f>
        <v>46305.562068788582</v>
      </c>
      <c r="M51" t="str">
        <f t="shared" si="1"/>
        <v>2026-10-10 21:29:23</v>
      </c>
    </row>
    <row r="52" spans="1:14" ht="15" x14ac:dyDescent="0.15">
      <c r="A52" s="36" t="s">
        <v>10</v>
      </c>
      <c r="B52" s="37">
        <v>1</v>
      </c>
      <c r="C52" s="37" t="s">
        <v>42</v>
      </c>
      <c r="D52" s="41" t="s">
        <v>43</v>
      </c>
      <c r="E52" s="39" t="str">
        <f t="shared" si="2"/>
        <v>ROUGH_RUBY_GEM</v>
      </c>
      <c r="F52" s="455">
        <f>_xlfn.NUMBERVALUE(IF(VLOOKUP($E52, SwaggerAPI!$A:$A, 1, TRUE) = $E52, VLOOKUP($E52, SwaggerAPI!$A:$H, 2, TRUE), NA()))</f>
        <v>8.9215730164170708</v>
      </c>
      <c r="G52" s="455">
        <f>_xlfn.NUMBERVALUE(IF(VLOOKUP($E52, SwaggerAPI!$A:$A, 1, TRUE) = $E52, VLOOKUP($E52, SwaggerAPI!$A:$H, 3, TRUE), NA()))</f>
        <v>1.5</v>
      </c>
      <c r="H52" s="458">
        <f>_xlfn.NUMBERVALUE(IF(VLOOKUP($E52, SwaggerAPI!$A:$A, 1, TRUE) = $E52, VLOOKUP($E52, SwaggerAPI!$A:$H, 4, TRUE), NA()))</f>
        <v>4043722</v>
      </c>
      <c r="I52" s="458">
        <f>_xlfn.NUMBERVALUE(IF(VLOOKUP($E52, SwaggerAPI!$A:$A, 1, TRUE) = $E52, VLOOKUP($E52, SwaggerAPI!$A:$H, 5, TRUE), NA()))</f>
        <v>3040092</v>
      </c>
      <c r="J52" s="458">
        <f>_xlfn.NUMBERVALUE(IF(VLOOKUP($E52, SwaggerAPI!$A:$A, 1, TRUE) = $E52, VLOOKUP($E52, SwaggerAPI!$A:$H, 6, TRUE), NA()))</f>
        <v>518730</v>
      </c>
      <c r="K52" s="458">
        <f>_xlfn.NUMBERVALUE(IF(VLOOKUP($E52, SwaggerAPI!$A:$A, 1, TRUE) = $E52, VLOOKUP($E52, SwaggerAPI!$A:$H, 7, TRUE), NA()))</f>
        <v>104933625</v>
      </c>
      <c r="L52" s="453">
        <f>IF(VLOOKUP($E52, SwaggerAPI!$A:$A, 1, TRUE) = $E52, VLOOKUP($E52, SwaggerAPI!$A:$H, 8, TRUE), NA())</f>
        <v>46305.562068788582</v>
      </c>
      <c r="M52" t="str">
        <f t="shared" si="1"/>
        <v>2026-10-10 21:29:23</v>
      </c>
    </row>
    <row r="53" spans="1:14" ht="16.5" x14ac:dyDescent="0.15">
      <c r="A53" s="36" t="s">
        <v>10</v>
      </c>
      <c r="B53" s="37">
        <v>1</v>
      </c>
      <c r="C53" s="37" t="s">
        <v>45</v>
      </c>
      <c r="D53" s="42" t="s">
        <v>29</v>
      </c>
      <c r="E53" s="39" t="str">
        <f t="shared" si="2"/>
        <v>ROUGH_PERIDOT_GEM</v>
      </c>
      <c r="F53" s="455">
        <f>_xlfn.NUMBERVALUE(IF(VLOOKUP($E53, SwaggerAPI!$A:$A, 1, TRUE) = $E53, VLOOKUP($E53, SwaggerAPI!$A:$H, 2, TRUE), NA()))</f>
        <v>11.037282948754701</v>
      </c>
      <c r="G53" s="455">
        <f>_xlfn.NUMBERVALUE(IF(VLOOKUP($E53, SwaggerAPI!$A:$A, 1, TRUE) = $E53, VLOOKUP($E53, SwaggerAPI!$A:$H, 3, TRUE), NA()))</f>
        <v>1.4</v>
      </c>
      <c r="H53" s="458">
        <f>_xlfn.NUMBERVALUE(IF(VLOOKUP($E53, SwaggerAPI!$A:$A, 1, TRUE) = $E53, VLOOKUP($E53, SwaggerAPI!$A:$H, 4, TRUE), NA()))</f>
        <v>24542343</v>
      </c>
      <c r="I53" s="458">
        <f>_xlfn.NUMBERVALUE(IF(VLOOKUP($E53, SwaggerAPI!$A:$A, 1, TRUE) = $E53, VLOOKUP($E53, SwaggerAPI!$A:$H, 5, TRUE), NA()))</f>
        <v>4832962</v>
      </c>
      <c r="J53" s="458">
        <f>_xlfn.NUMBERVALUE(IF(VLOOKUP($E53, SwaggerAPI!$A:$A, 1, TRUE) = $E53, VLOOKUP($E53, SwaggerAPI!$A:$H, 6, TRUE), NA()))</f>
        <v>8409</v>
      </c>
      <c r="K53" s="458">
        <f>_xlfn.NUMBERVALUE(IF(VLOOKUP($E53, SwaggerAPI!$A:$A, 1, TRUE) = $E53, VLOOKUP($E53, SwaggerAPI!$A:$H, 7, TRUE), NA()))</f>
        <v>145735077</v>
      </c>
      <c r="L53" s="453">
        <f>IF(VLOOKUP($E53, SwaggerAPI!$A:$A, 1, TRUE) = $E53, VLOOKUP($E53, SwaggerAPI!$A:$H, 8, TRUE), NA())</f>
        <v>46305.562068788582</v>
      </c>
      <c r="M53" t="str">
        <f t="shared" si="1"/>
        <v>2026-10-10 21:29:23</v>
      </c>
    </row>
    <row r="54" spans="1:14" ht="16.5" x14ac:dyDescent="0.15">
      <c r="A54" s="36" t="s">
        <v>10</v>
      </c>
      <c r="B54" s="37">
        <v>1</v>
      </c>
      <c r="C54" s="39" t="s">
        <v>20</v>
      </c>
      <c r="D54" s="43" t="s">
        <v>21</v>
      </c>
      <c r="E54" s="39" t="str">
        <f t="shared" si="2"/>
        <v>ROUGH_OPAL_GEM</v>
      </c>
      <c r="F54" s="455">
        <f>_xlfn.NUMBERVALUE(IF(VLOOKUP($E54, SwaggerAPI!$A:$A, 1, TRUE) = $E54, VLOOKUP($E54, SwaggerAPI!$A:$H, 2, TRUE), NA()))</f>
        <v>19.5999553770638</v>
      </c>
      <c r="G54" s="455">
        <f>_xlfn.NUMBERVALUE(IF(VLOOKUP($E54, SwaggerAPI!$A:$A, 1, TRUE) = $E54, VLOOKUP($E54, SwaggerAPI!$A:$H, 3, TRUE), NA()))</f>
        <v>1.3</v>
      </c>
      <c r="H54" s="458">
        <f>_xlfn.NUMBERVALUE(IF(VLOOKUP($E54, SwaggerAPI!$A:$A, 1, TRUE) = $E54, VLOOKUP($E54, SwaggerAPI!$A:$H, 4, TRUE), NA()))</f>
        <v>780535</v>
      </c>
      <c r="I54" s="458">
        <f>_xlfn.NUMBERVALUE(IF(VLOOKUP($E54, SwaggerAPI!$A:$A, 1, TRUE) = $E54, VLOOKUP($E54, SwaggerAPI!$A:$H, 5, TRUE), NA()))</f>
        <v>3364424</v>
      </c>
      <c r="J54" s="458">
        <f>_xlfn.NUMBERVALUE(IF(VLOOKUP($E54, SwaggerAPI!$A:$A, 1, TRUE) = $E54, VLOOKUP($E54, SwaggerAPI!$A:$H, 6, TRUE), NA()))</f>
        <v>15802</v>
      </c>
      <c r="K54" s="458">
        <f>_xlfn.NUMBERVALUE(IF(VLOOKUP($E54, SwaggerAPI!$A:$A, 1, TRUE) = $E54, VLOOKUP($E54, SwaggerAPI!$A:$H, 7, TRUE), NA()))</f>
        <v>15369700</v>
      </c>
      <c r="L54" s="453">
        <f>IF(VLOOKUP($E54, SwaggerAPI!$A:$A, 1, TRUE) = $E54, VLOOKUP($E54, SwaggerAPI!$A:$H, 8, TRUE), NA())</f>
        <v>46305.562068788582</v>
      </c>
      <c r="M54" t="str">
        <f t="shared" si="1"/>
        <v>2026-10-10 21:29:23</v>
      </c>
    </row>
    <row r="55" spans="1:14" ht="16.5" x14ac:dyDescent="0.15">
      <c r="A55" s="36" t="s">
        <v>10</v>
      </c>
      <c r="B55" s="37">
        <v>1</v>
      </c>
      <c r="C55" s="37" t="s">
        <v>17</v>
      </c>
      <c r="D55" s="44" t="s">
        <v>18</v>
      </c>
      <c r="E55" s="39" t="str">
        <f t="shared" si="2"/>
        <v>ROUGH_ONYX_GEM</v>
      </c>
      <c r="F55" s="455">
        <f>_xlfn.NUMBERVALUE(IF(VLOOKUP($E55, SwaggerAPI!$A:$A, 1, TRUE) = $E55, VLOOKUP($E55, SwaggerAPI!$A:$H, 2, TRUE), NA()))</f>
        <v>4.0375583203732504</v>
      </c>
      <c r="G55" s="455">
        <f>_xlfn.NUMBERVALUE(IF(VLOOKUP($E55, SwaggerAPI!$A:$A, 1, TRUE) = $E55, VLOOKUP($E55, SwaggerAPI!$A:$H, 3, TRUE), NA()))</f>
        <v>0.8</v>
      </c>
      <c r="H55" s="458">
        <f>_xlfn.NUMBERVALUE(IF(VLOOKUP($E55, SwaggerAPI!$A:$A, 1, TRUE) = $E55, VLOOKUP($E55, SwaggerAPI!$A:$H, 4, TRUE), NA()))</f>
        <v>3360820</v>
      </c>
      <c r="I55" s="458">
        <f>_xlfn.NUMBERVALUE(IF(VLOOKUP($E55, SwaggerAPI!$A:$A, 1, TRUE) = $E55, VLOOKUP($E55, SwaggerAPI!$A:$H, 5, TRUE), NA()))</f>
        <v>1973696</v>
      </c>
      <c r="J55" s="458">
        <f>_xlfn.NUMBERVALUE(IF(VLOOKUP($E55, SwaggerAPI!$A:$A, 1, TRUE) = $E55, VLOOKUP($E55, SwaggerAPI!$A:$H, 6, TRUE), NA()))</f>
        <v>506112</v>
      </c>
      <c r="K55" s="458">
        <f>_xlfn.NUMBERVALUE(IF(VLOOKUP($E55, SwaggerAPI!$A:$A, 1, TRUE) = $E55, VLOOKUP($E55, SwaggerAPI!$A:$H, 7, TRUE), NA()))</f>
        <v>111830682</v>
      </c>
      <c r="L55" s="453">
        <f>IF(VLOOKUP($E55, SwaggerAPI!$A:$A, 1, TRUE) = $E55, VLOOKUP($E55, SwaggerAPI!$A:$H, 8, TRUE), NA())</f>
        <v>46305.562068788582</v>
      </c>
      <c r="M55" t="str">
        <f t="shared" si="1"/>
        <v>2026-10-10 21:29:23</v>
      </c>
    </row>
    <row r="56" spans="1:14" ht="16.5" x14ac:dyDescent="0.15">
      <c r="A56" s="36" t="s">
        <v>10</v>
      </c>
      <c r="B56" s="37">
        <v>1</v>
      </c>
      <c r="C56" s="37" t="s">
        <v>47</v>
      </c>
      <c r="D56" s="43" t="s">
        <v>48</v>
      </c>
      <c r="E56" s="39" t="str">
        <f t="shared" si="2"/>
        <v>ROUGH_JASPER_GEM</v>
      </c>
      <c r="F56" s="455">
        <f>_xlfn.NUMBERVALUE(IF(VLOOKUP($E56, SwaggerAPI!$A:$A, 1, TRUE) = $E56, VLOOKUP($E56, SwaggerAPI!$A:$H, 2, TRUE), NA()))</f>
        <v>33.970081387349303</v>
      </c>
      <c r="G56" s="455">
        <f>_xlfn.NUMBERVALUE(IF(VLOOKUP($E56, SwaggerAPI!$A:$A, 1, TRUE) = $E56, VLOOKUP($E56, SwaggerAPI!$A:$H, 3, TRUE), NA()))</f>
        <v>6.4647974949373701</v>
      </c>
      <c r="H56" s="458">
        <f>_xlfn.NUMBERVALUE(IF(VLOOKUP($E56, SwaggerAPI!$A:$A, 1, TRUE) = $E56, VLOOKUP($E56, SwaggerAPI!$A:$H, 4, TRUE), NA()))</f>
        <v>2103787</v>
      </c>
      <c r="I56" s="458">
        <f>_xlfn.NUMBERVALUE(IF(VLOOKUP($E56, SwaggerAPI!$A:$A, 1, TRUE) = $E56, VLOOKUP($E56, SwaggerAPI!$A:$H, 5, TRUE), NA()))</f>
        <v>12211255</v>
      </c>
      <c r="J56" s="458">
        <f>_xlfn.NUMBERVALUE(IF(VLOOKUP($E56, SwaggerAPI!$A:$A, 1, TRUE) = $E56, VLOOKUP($E56, SwaggerAPI!$A:$H, 6, TRUE), NA()))</f>
        <v>12654</v>
      </c>
      <c r="K56" s="458">
        <f>_xlfn.NUMBERVALUE(IF(VLOOKUP($E56, SwaggerAPI!$A:$A, 1, TRUE) = $E56, VLOOKUP($E56, SwaggerAPI!$A:$H, 7, TRUE), NA()))</f>
        <v>51336382</v>
      </c>
      <c r="L56" s="453">
        <f>IF(VLOOKUP($E56, SwaggerAPI!$A:$A, 1, TRUE) = $E56, VLOOKUP($E56, SwaggerAPI!$A:$H, 8, TRUE), NA())</f>
        <v>46305.562068788582</v>
      </c>
      <c r="M56" t="str">
        <f t="shared" si="1"/>
        <v>2026-10-10 21:29:23</v>
      </c>
    </row>
    <row r="57" spans="1:14" ht="16.5" x14ac:dyDescent="0.15">
      <c r="A57" s="36" t="s">
        <v>10</v>
      </c>
      <c r="B57" s="37">
        <v>1</v>
      </c>
      <c r="C57" s="37" t="s">
        <v>40</v>
      </c>
      <c r="D57" s="45" t="s">
        <v>29</v>
      </c>
      <c r="E57" s="39" t="str">
        <f t="shared" si="2"/>
        <v>ROUGH_JADE_GEM</v>
      </c>
      <c r="F57" s="455">
        <f>_xlfn.NUMBERVALUE(IF(VLOOKUP($E57, SwaggerAPI!$A:$A, 1, TRUE) = $E57, VLOOKUP($E57, SwaggerAPI!$A:$H, 2, TRUE), NA()))</f>
        <v>3.0800173160173201</v>
      </c>
      <c r="G57" s="455">
        <f>_xlfn.NUMBERVALUE(IF(VLOOKUP($E57, SwaggerAPI!$A:$A, 1, TRUE) = $E57, VLOOKUP($E57, SwaggerAPI!$A:$H, 3, TRUE), NA()))</f>
        <v>0.7</v>
      </c>
      <c r="H57" s="458">
        <f>_xlfn.NUMBERVALUE(IF(VLOOKUP($E57, SwaggerAPI!$A:$A, 1, TRUE) = $E57, VLOOKUP($E57, SwaggerAPI!$A:$H, 4, TRUE), NA()))</f>
        <v>5629435</v>
      </c>
      <c r="I57" s="458">
        <f>_xlfn.NUMBERVALUE(IF(VLOOKUP($E57, SwaggerAPI!$A:$A, 1, TRUE) = $E57, VLOOKUP($E57, SwaggerAPI!$A:$H, 5, TRUE), NA()))</f>
        <v>4262261</v>
      </c>
      <c r="J57" s="458">
        <f>_xlfn.NUMBERVALUE(IF(VLOOKUP($E57, SwaggerAPI!$A:$A, 1, TRUE) = $E57, VLOOKUP($E57, SwaggerAPI!$A:$H, 6, TRUE), NA()))</f>
        <v>169239</v>
      </c>
      <c r="K57" s="458">
        <f>_xlfn.NUMBERVALUE(IF(VLOOKUP($E57, SwaggerAPI!$A:$A, 1, TRUE) = $E57, VLOOKUP($E57, SwaggerAPI!$A:$H, 7, TRUE), NA()))</f>
        <v>177106638</v>
      </c>
      <c r="L57" s="453">
        <f>IF(VLOOKUP($E57, SwaggerAPI!$A:$A, 1, TRUE) = $E57, VLOOKUP($E57, SwaggerAPI!$A:$H, 8, TRUE), NA())</f>
        <v>46305.562068788582</v>
      </c>
      <c r="M57" t="str">
        <f t="shared" si="1"/>
        <v>2026-10-10 21:29:23</v>
      </c>
    </row>
    <row r="58" spans="1:14" ht="15" x14ac:dyDescent="0.15">
      <c r="A58" s="36" t="s">
        <v>10</v>
      </c>
      <c r="B58" s="37">
        <v>1</v>
      </c>
      <c r="C58" s="39" t="s">
        <v>28</v>
      </c>
      <c r="D58" s="41" t="s">
        <v>29</v>
      </c>
      <c r="E58" s="39" t="str">
        <f t="shared" si="2"/>
        <v>ROUGH_CITRINE_GEM</v>
      </c>
      <c r="F58" s="455">
        <f>_xlfn.NUMBERVALUE(IF(VLOOKUP($E58, SwaggerAPI!$A:$A, 1, TRUE) = $E58, VLOOKUP($E58, SwaggerAPI!$A:$H, 2, TRUE), NA()))</f>
        <v>20.508377440478</v>
      </c>
      <c r="G58" s="455">
        <f>_xlfn.NUMBERVALUE(IF(VLOOKUP($E58, SwaggerAPI!$A:$A, 1, TRUE) = $E58, VLOOKUP($E58, SwaggerAPI!$A:$H, 3, TRUE), NA()))</f>
        <v>1.4</v>
      </c>
      <c r="H58" s="458">
        <f>_xlfn.NUMBERVALUE(IF(VLOOKUP($E58, SwaggerAPI!$A:$A, 1, TRUE) = $E58, VLOOKUP($E58, SwaggerAPI!$A:$H, 4, TRUE), NA()))</f>
        <v>5366122</v>
      </c>
      <c r="I58" s="458">
        <f>_xlfn.NUMBERVALUE(IF(VLOOKUP($E58, SwaggerAPI!$A:$A, 1, TRUE) = $E58, VLOOKUP($E58, SwaggerAPI!$A:$H, 5, TRUE), NA()))</f>
        <v>1519320</v>
      </c>
      <c r="J58" s="458">
        <f>_xlfn.NUMBERVALUE(IF(VLOOKUP($E58, SwaggerAPI!$A:$A, 1, TRUE) = $E58, VLOOKUP($E58, SwaggerAPI!$A:$H, 6, TRUE), NA()))</f>
        <v>655678</v>
      </c>
      <c r="K58" s="458">
        <f>_xlfn.NUMBERVALUE(IF(VLOOKUP($E58, SwaggerAPI!$A:$A, 1, TRUE) = $E58, VLOOKUP($E58, SwaggerAPI!$A:$H, 7, TRUE), NA()))</f>
        <v>114532091</v>
      </c>
      <c r="L58" s="453">
        <f>IF(VLOOKUP($E58, SwaggerAPI!$A:$A, 1, TRUE) = $E58, VLOOKUP($E58, SwaggerAPI!$A:$H, 8, TRUE), NA())</f>
        <v>46305.562068788582</v>
      </c>
      <c r="M58" t="str">
        <f t="shared" si="1"/>
        <v>2026-10-10 21:29:23</v>
      </c>
    </row>
    <row r="59" spans="1:14" ht="16.5" x14ac:dyDescent="0.15">
      <c r="A59" s="36" t="s">
        <v>10</v>
      </c>
      <c r="B59" s="37">
        <v>1</v>
      </c>
      <c r="C59" s="39" t="s">
        <v>37</v>
      </c>
      <c r="D59" s="42" t="s">
        <v>38</v>
      </c>
      <c r="E59" s="39" t="str">
        <f t="shared" si="2"/>
        <v>ROUGH_AQUAMARINE_GEM</v>
      </c>
      <c r="F59" s="455">
        <f>_xlfn.NUMBERVALUE(IF(VLOOKUP($E59, SwaggerAPI!$A:$A, 1, TRUE) = $E59, VLOOKUP($E59, SwaggerAPI!$A:$H, 2, TRUE), NA()))</f>
        <v>11.670113229220799</v>
      </c>
      <c r="G59" s="455">
        <f>_xlfn.NUMBERVALUE(IF(VLOOKUP($E59, SwaggerAPI!$A:$A, 1, TRUE) = $E59, VLOOKUP($E59, SwaggerAPI!$A:$H, 3, TRUE), NA()))</f>
        <v>1</v>
      </c>
      <c r="H59" s="458">
        <f>_xlfn.NUMBERVALUE(IF(VLOOKUP($E59, SwaggerAPI!$A:$A, 1, TRUE) = $E59, VLOOKUP($E59, SwaggerAPI!$A:$H, 4, TRUE), NA()))</f>
        <v>2802364</v>
      </c>
      <c r="I59" s="458">
        <f>_xlfn.NUMBERVALUE(IF(VLOOKUP($E59, SwaggerAPI!$A:$A, 1, TRUE) = $E59, VLOOKUP($E59, SwaggerAPI!$A:$H, 5, TRUE), NA()))</f>
        <v>4056121</v>
      </c>
      <c r="J59" s="458">
        <f>_xlfn.NUMBERVALUE(IF(VLOOKUP($E59, SwaggerAPI!$A:$A, 1, TRUE) = $E59, VLOOKUP($E59, SwaggerAPI!$A:$H, 6, TRUE), NA()))</f>
        <v>9621</v>
      </c>
      <c r="K59" s="458">
        <f>_xlfn.NUMBERVALUE(IF(VLOOKUP($E59, SwaggerAPI!$A:$A, 1, TRUE) = $E59, VLOOKUP($E59, SwaggerAPI!$A:$H, 7, TRUE), NA()))</f>
        <v>130935835</v>
      </c>
      <c r="L59" s="453">
        <f>IF(VLOOKUP($E59, SwaggerAPI!$A:$A, 1, TRUE) = $E59, VLOOKUP($E59, SwaggerAPI!$A:$H, 8, TRUE), NA())</f>
        <v>46305.562068788582</v>
      </c>
      <c r="M59" t="str">
        <f t="shared" si="1"/>
        <v>2026-10-10 21:29:23</v>
      </c>
    </row>
    <row r="60" spans="1:14" ht="16.5" x14ac:dyDescent="0.15">
      <c r="A60" s="36" t="s">
        <v>10</v>
      </c>
      <c r="B60" s="37">
        <v>1</v>
      </c>
      <c r="C60" s="37" t="s">
        <v>112</v>
      </c>
      <c r="D60" s="38" t="s">
        <v>32</v>
      </c>
      <c r="E60" s="39" t="str">
        <f t="shared" si="2"/>
        <v>ROUGH_AMETHYST_GEM</v>
      </c>
      <c r="F60" s="455">
        <f>_xlfn.NUMBERVALUE(IF(VLOOKUP($E60, SwaggerAPI!$A:$A, 1, TRUE) = $E60, VLOOKUP($E60, SwaggerAPI!$A:$H, 2, TRUE), NA()))</f>
        <v>4.79488762981196</v>
      </c>
      <c r="G60" s="455">
        <f>_xlfn.NUMBERVALUE(IF(VLOOKUP($E60, SwaggerAPI!$A:$A, 1, TRUE) = $E60, VLOOKUP($E60, SwaggerAPI!$A:$H, 3, TRUE), NA()))</f>
        <v>1</v>
      </c>
      <c r="H60" s="458">
        <f>_xlfn.NUMBERVALUE(IF(VLOOKUP($E60, SwaggerAPI!$A:$A, 1, TRUE) = $E60, VLOOKUP($E60, SwaggerAPI!$A:$H, 4, TRUE), NA()))</f>
        <v>215459</v>
      </c>
      <c r="I60" s="458">
        <f>_xlfn.NUMBERVALUE(IF(VLOOKUP($E60, SwaggerAPI!$A:$A, 1, TRUE) = $E60, VLOOKUP($E60, SwaggerAPI!$A:$H, 5, TRUE), NA()))</f>
        <v>1819637</v>
      </c>
      <c r="J60" s="458">
        <f>_xlfn.NUMBERVALUE(IF(VLOOKUP($E60, SwaggerAPI!$A:$A, 1, TRUE) = $E60, VLOOKUP($E60, SwaggerAPI!$A:$H, 6, TRUE), NA()))</f>
        <v>59149</v>
      </c>
      <c r="K60" s="458">
        <f>_xlfn.NUMBERVALUE(IF(VLOOKUP($E60, SwaggerAPI!$A:$A, 1, TRUE) = $E60, VLOOKUP($E60, SwaggerAPI!$A:$H, 7, TRUE), NA()))</f>
        <v>209045703</v>
      </c>
      <c r="L60" s="453">
        <f>IF(VLOOKUP($E60, SwaggerAPI!$A:$A, 1, TRUE) = $E60, VLOOKUP($E60, SwaggerAPI!$A:$H, 8, TRUE), NA())</f>
        <v>46305.562068788582</v>
      </c>
      <c r="M60" t="str">
        <f t="shared" si="1"/>
        <v>2026-10-10 21:29:23</v>
      </c>
    </row>
    <row r="61" spans="1:14" ht="16.5" x14ac:dyDescent="0.15">
      <c r="A61" s="36" t="s">
        <v>10</v>
      </c>
      <c r="B61" s="37">
        <v>1</v>
      </c>
      <c r="C61" s="37" t="s">
        <v>34</v>
      </c>
      <c r="D61" s="40" t="s">
        <v>35</v>
      </c>
      <c r="E61" s="39" t="str">
        <f t="shared" si="2"/>
        <v>ROUGH_AMBER_GEM</v>
      </c>
      <c r="F61" s="455">
        <f>_xlfn.NUMBERVALUE(IF(VLOOKUP($E61, SwaggerAPI!$A:$A, 1, TRUE) = $E61, VLOOKUP($E61, SwaggerAPI!$A:$H, 2, TRUE), NA()))</f>
        <v>4.9461000493093197</v>
      </c>
      <c r="G61" s="455">
        <f>_xlfn.NUMBERVALUE(IF(VLOOKUP($E61, SwaggerAPI!$A:$A, 1, TRUE) = $E61, VLOOKUP($E61, SwaggerAPI!$A:$H, 3, TRUE), NA()))</f>
        <v>2.5</v>
      </c>
      <c r="H61" s="458">
        <f>_xlfn.NUMBERVALUE(IF(VLOOKUP($E61, SwaggerAPI!$A:$A, 1, TRUE) = $E61, VLOOKUP($E61, SwaggerAPI!$A:$H, 4, TRUE), NA()))</f>
        <v>12304305</v>
      </c>
      <c r="I61" s="458">
        <f>_xlfn.NUMBERVALUE(IF(VLOOKUP($E61, SwaggerAPI!$A:$A, 1, TRUE) = $E61, VLOOKUP($E61, SwaggerAPI!$A:$H, 5, TRUE), NA()))</f>
        <v>2746401</v>
      </c>
      <c r="J61" s="458">
        <f>_xlfn.NUMBERVALUE(IF(VLOOKUP($E61, SwaggerAPI!$A:$A, 1, TRUE) = $E61, VLOOKUP($E61, SwaggerAPI!$A:$H, 6, TRUE), NA()))</f>
        <v>187024</v>
      </c>
      <c r="K61" s="458">
        <f>_xlfn.NUMBERVALUE(IF(VLOOKUP($E61, SwaggerAPI!$A:$A, 1, TRUE) = $E61, VLOOKUP($E61, SwaggerAPI!$A:$H, 7, TRUE), NA()))</f>
        <v>156077326</v>
      </c>
      <c r="L61" s="453">
        <f>IF(VLOOKUP($E61, SwaggerAPI!$A:$A, 1, TRUE) = $E61, VLOOKUP($E61, SwaggerAPI!$A:$H, 8, TRUE), NA())</f>
        <v>46305.562068788582</v>
      </c>
      <c r="M61" t="str">
        <f t="shared" si="1"/>
        <v>2026-10-10 21:29:23</v>
      </c>
    </row>
    <row r="62" spans="1:14" x14ac:dyDescent="0.15">
      <c r="A62" s="94" t="s">
        <v>145</v>
      </c>
      <c r="B62" s="93"/>
      <c r="C62" s="93"/>
      <c r="D62" s="94"/>
      <c r="E62" s="94" t="s">
        <v>145</v>
      </c>
      <c r="F62" s="455">
        <f>_xlfn.NUMBERVALUE(IF(VLOOKUP($E62, SwaggerAPI!$A:$A, 1, TRUE) = $E62, VLOOKUP($E62, SwaggerAPI!$A:$H, 2, TRUE), NA()))</f>
        <v>250299.21247771801</v>
      </c>
      <c r="G62" s="455">
        <f>_xlfn.NUMBERVALUE(IF(VLOOKUP($E62, SwaggerAPI!$A:$A, 1, TRUE) = $E62, VLOOKUP($E62, SwaggerAPI!$A:$H, 3, TRUE), NA()))</f>
        <v>225374.50520833299</v>
      </c>
      <c r="H62" s="458">
        <f>_xlfn.NUMBERVALUE(IF(VLOOKUP($E62, SwaggerAPI!$A:$A, 1, TRUE) = $E62, VLOOKUP($E62, SwaggerAPI!$A:$H, 4, TRUE), NA()))</f>
        <v>6932</v>
      </c>
      <c r="I62" s="458">
        <f>_xlfn.NUMBERVALUE(IF(VLOOKUP($E62, SwaggerAPI!$A:$A, 1, TRUE) = $E62, VLOOKUP($E62, SwaggerAPI!$A:$H, 5, TRUE), NA()))</f>
        <v>3773</v>
      </c>
      <c r="J62" s="458">
        <f>_xlfn.NUMBERVALUE(IF(VLOOKUP($E62, SwaggerAPI!$A:$A, 1, TRUE) = $E62, VLOOKUP($E62, SwaggerAPI!$A:$H, 6, TRUE), NA()))</f>
        <v>51271</v>
      </c>
      <c r="K62" s="458">
        <f>_xlfn.NUMBERVALUE(IF(VLOOKUP($E62, SwaggerAPI!$A:$A, 1, TRUE) = $E62, VLOOKUP($E62, SwaggerAPI!$A:$H, 7, TRUE), NA()))</f>
        <v>35441</v>
      </c>
      <c r="L62" s="453">
        <f>IF(VLOOKUP($E62, SwaggerAPI!$A:$A, 1, TRUE) = $E62, VLOOKUP($E62, SwaggerAPI!$A:$H, 8, TRUE), NA())</f>
        <v>46305.562068788582</v>
      </c>
      <c r="M62" t="str">
        <f t="shared" si="1"/>
        <v>2026-10-10 21:29:23</v>
      </c>
      <c r="N62" s="35">
        <f>AVERAGE(F62:G62)</f>
        <v>237836.85884302552</v>
      </c>
    </row>
    <row r="63" spans="1:14" x14ac:dyDescent="0.15">
      <c r="A63" s="94" t="s">
        <v>146</v>
      </c>
      <c r="B63" s="93"/>
      <c r="C63" s="93"/>
      <c r="D63" s="94"/>
      <c r="E63" s="94" t="s">
        <v>146</v>
      </c>
      <c r="F63" s="455">
        <f>_xlfn.NUMBERVALUE(IF(VLOOKUP($E63, SwaggerAPI!$A:$A, 1, TRUE) = $E63, VLOOKUP($E63, SwaggerAPI!$A:$H, 2, TRUE), NA()))</f>
        <v>949992.84579439298</v>
      </c>
      <c r="G63" s="455">
        <f>_xlfn.NUMBERVALUE(IF(VLOOKUP($E63, SwaggerAPI!$A:$A, 1, TRUE) = $E63, VLOOKUP($E63, SwaggerAPI!$A:$H, 3, TRUE), NA()))</f>
        <v>900141.25480769202</v>
      </c>
      <c r="H63" s="458">
        <f>_xlfn.NUMBERVALUE(IF(VLOOKUP($E63, SwaggerAPI!$A:$A, 1, TRUE) = $E63, VLOOKUP($E63, SwaggerAPI!$A:$H, 4, TRUE), NA()))</f>
        <v>4507</v>
      </c>
      <c r="I63" s="458">
        <f>_xlfn.NUMBERVALUE(IF(VLOOKUP($E63, SwaggerAPI!$A:$A, 1, TRUE) = $E63, VLOOKUP($E63, SwaggerAPI!$A:$H, 5, TRUE), NA()))</f>
        <v>2314</v>
      </c>
      <c r="J63" s="458">
        <f>_xlfn.NUMBERVALUE(IF(VLOOKUP($E63, SwaggerAPI!$A:$A, 1, TRUE) = $E63, VLOOKUP($E63, SwaggerAPI!$A:$H, 6, TRUE), NA()))</f>
        <v>54846</v>
      </c>
      <c r="K63" s="458">
        <f>_xlfn.NUMBERVALUE(IF(VLOOKUP($E63, SwaggerAPI!$A:$A, 1, TRUE) = $E63, VLOOKUP($E63, SwaggerAPI!$A:$H, 7, TRUE), NA()))</f>
        <v>22831</v>
      </c>
      <c r="L63" s="453">
        <f>IF(VLOOKUP($E63, SwaggerAPI!$A:$A, 1, TRUE) = $E63, VLOOKUP($E63, SwaggerAPI!$A:$H, 8, TRUE), NA())</f>
        <v>46305.562068788582</v>
      </c>
      <c r="M63" t="str">
        <f t="shared" si="1"/>
        <v>2026-10-10 21:29:23</v>
      </c>
      <c r="N63" s="35">
        <f>AVERAGE(F63:G63)</f>
        <v>925067.0503010425</v>
      </c>
    </row>
  </sheetData>
  <autoFilter ref="A1:N63" xr:uid="{6B1F8162-F3E6-4A26-9D28-96712A8AC6ED}">
    <sortState xmlns:xlrd2="http://schemas.microsoft.com/office/spreadsheetml/2017/richdata2" ref="A2:N63">
      <sortCondition descending="1" ref="B1:B63"/>
    </sortState>
  </autoFilter>
  <phoneticPr fontId="2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A432-6935-4C1A-95AE-FD686B3695BA}">
  <dimension ref="A1:O63"/>
  <sheetViews>
    <sheetView topLeftCell="A46" zoomScaleNormal="100" workbookViewId="0">
      <selection activeCell="A51" sqref="A51"/>
    </sheetView>
  </sheetViews>
  <sheetFormatPr defaultRowHeight="13.5" x14ac:dyDescent="0.15"/>
  <cols>
    <col min="1" max="1" width="26.125" bestFit="1" customWidth="1"/>
    <col min="2" max="3" width="12.75" style="167" bestFit="1" customWidth="1"/>
    <col min="4" max="4" width="14" bestFit="1" customWidth="1"/>
    <col min="5" max="5" width="15.25" bestFit="1" customWidth="1"/>
    <col min="6" max="6" width="19" bestFit="1" customWidth="1"/>
    <col min="7" max="7" width="20.25" bestFit="1" customWidth="1"/>
    <col min="8" max="8" width="18.375" bestFit="1" customWidth="1"/>
    <col min="9" max="9" width="12.75" bestFit="1" customWidth="1"/>
    <col min="10" max="11" width="14" bestFit="1" customWidth="1"/>
    <col min="12" max="12" width="15.25" bestFit="1" customWidth="1"/>
    <col min="13" max="13" width="19" bestFit="1" customWidth="1"/>
    <col min="14" max="14" width="20.25" bestFit="1" customWidth="1"/>
    <col min="15" max="15" width="12.75" bestFit="1" customWidth="1"/>
  </cols>
  <sheetData>
    <row r="1" spans="1:15" x14ac:dyDescent="0.15">
      <c r="A1" t="s">
        <v>15</v>
      </c>
      <c r="B1" s="167" t="s">
        <v>2</v>
      </c>
      <c r="C1" s="167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30"/>
      <c r="J1" s="30"/>
      <c r="K1" s="30"/>
      <c r="L1" s="30"/>
      <c r="M1" s="30"/>
      <c r="N1" s="30"/>
      <c r="O1" s="31"/>
    </row>
    <row r="2" spans="1:15" x14ac:dyDescent="0.15">
      <c r="A2" s="33" t="s">
        <v>68</v>
      </c>
      <c r="B2" s="451">
        <v>29404.370009372073</v>
      </c>
      <c r="C2" s="451">
        <v>26446.101327643431</v>
      </c>
      <c r="D2">
        <v>79207</v>
      </c>
      <c r="E2">
        <v>44571</v>
      </c>
      <c r="F2">
        <v>243496</v>
      </c>
      <c r="G2">
        <v>514552</v>
      </c>
      <c r="H2" s="452">
        <v>46305.562068788582</v>
      </c>
      <c r="I2" s="161"/>
      <c r="J2" s="161"/>
      <c r="K2" s="161"/>
      <c r="L2" s="161"/>
      <c r="M2" s="161"/>
      <c r="N2" s="161"/>
      <c r="O2" s="162"/>
    </row>
    <row r="3" spans="1:15" x14ac:dyDescent="0.15">
      <c r="A3" t="s">
        <v>64</v>
      </c>
      <c r="B3" s="451">
        <v>31928.498535871156</v>
      </c>
      <c r="C3" s="451">
        <v>29753.160961810467</v>
      </c>
      <c r="D3">
        <v>185253</v>
      </c>
      <c r="E3">
        <v>34359</v>
      </c>
      <c r="F3">
        <v>259453</v>
      </c>
      <c r="G3">
        <v>339099</v>
      </c>
      <c r="H3" s="452">
        <v>46305.562068788582</v>
      </c>
      <c r="I3" s="163"/>
      <c r="J3" s="163"/>
      <c r="K3" s="163"/>
      <c r="L3" s="163"/>
      <c r="M3" s="163"/>
      <c r="N3" s="163"/>
      <c r="O3" s="164"/>
    </row>
    <row r="4" spans="1:15" x14ac:dyDescent="0.15">
      <c r="A4" t="s">
        <v>65</v>
      </c>
      <c r="B4" s="451">
        <v>25694.584910762573</v>
      </c>
      <c r="C4" s="451">
        <v>24806.6</v>
      </c>
      <c r="D4">
        <v>86769</v>
      </c>
      <c r="E4">
        <v>306170</v>
      </c>
      <c r="F4">
        <v>132555</v>
      </c>
      <c r="G4">
        <v>448496</v>
      </c>
      <c r="H4" s="452">
        <v>46305.562068788582</v>
      </c>
      <c r="I4" s="161"/>
      <c r="J4" s="161"/>
      <c r="K4" s="161"/>
      <c r="L4" s="161"/>
      <c r="M4" s="161"/>
      <c r="N4" s="161"/>
      <c r="O4" s="162"/>
    </row>
    <row r="5" spans="1:15" x14ac:dyDescent="0.15">
      <c r="A5" t="s">
        <v>71</v>
      </c>
      <c r="B5" s="451">
        <v>29228.189965397924</v>
      </c>
      <c r="C5" s="451">
        <v>24786.475269883234</v>
      </c>
      <c r="D5">
        <v>71882</v>
      </c>
      <c r="E5">
        <v>227745</v>
      </c>
      <c r="F5">
        <v>247894</v>
      </c>
      <c r="G5">
        <v>438535</v>
      </c>
      <c r="H5" s="452">
        <v>46305.562068788582</v>
      </c>
      <c r="I5" s="163"/>
      <c r="J5" s="163"/>
      <c r="K5" s="163"/>
      <c r="L5" s="163"/>
      <c r="M5" s="163"/>
      <c r="N5" s="163"/>
      <c r="O5" s="164"/>
    </row>
    <row r="6" spans="1:15" x14ac:dyDescent="0.15">
      <c r="A6" t="s">
        <v>69</v>
      </c>
      <c r="B6" s="451">
        <v>29556.481941156577</v>
      </c>
      <c r="C6" s="451">
        <v>26248.423046488628</v>
      </c>
      <c r="D6">
        <v>123785</v>
      </c>
      <c r="E6">
        <v>20484</v>
      </c>
      <c r="F6">
        <v>337005</v>
      </c>
      <c r="G6">
        <v>405030</v>
      </c>
      <c r="H6" s="452">
        <v>46305.562068788582</v>
      </c>
      <c r="I6" s="161"/>
      <c r="J6" s="161"/>
      <c r="K6" s="161"/>
      <c r="L6" s="161"/>
      <c r="M6" s="161"/>
      <c r="N6" s="161"/>
      <c r="O6" s="162"/>
    </row>
    <row r="7" spans="1:15" x14ac:dyDescent="0.15">
      <c r="A7" t="s">
        <v>61</v>
      </c>
      <c r="B7" s="451">
        <v>63466.537569620246</v>
      </c>
      <c r="C7" s="451">
        <v>59345.965375854219</v>
      </c>
      <c r="D7">
        <v>192660</v>
      </c>
      <c r="E7">
        <v>58944</v>
      </c>
      <c r="F7">
        <v>201106</v>
      </c>
      <c r="G7">
        <v>310913</v>
      </c>
      <c r="H7" s="452">
        <v>46305.562068788582</v>
      </c>
      <c r="I7" s="163"/>
      <c r="J7" s="163"/>
      <c r="K7" s="163"/>
      <c r="L7" s="163"/>
      <c r="M7" s="163"/>
      <c r="N7" s="163"/>
      <c r="O7" s="164"/>
    </row>
    <row r="8" spans="1:15" x14ac:dyDescent="0.15">
      <c r="A8" t="s">
        <v>63</v>
      </c>
      <c r="B8" s="451">
        <v>25667.982004284695</v>
      </c>
      <c r="C8" s="451">
        <v>24462.260454466155</v>
      </c>
      <c r="D8">
        <v>206992</v>
      </c>
      <c r="E8">
        <v>745632</v>
      </c>
      <c r="F8">
        <v>88699</v>
      </c>
      <c r="G8">
        <v>435729</v>
      </c>
      <c r="H8" s="452">
        <v>46305.562068788582</v>
      </c>
      <c r="I8" s="161"/>
      <c r="J8" s="161"/>
      <c r="K8" s="161"/>
      <c r="L8" s="161"/>
      <c r="M8" s="161"/>
      <c r="N8" s="161"/>
      <c r="O8" s="162"/>
    </row>
    <row r="9" spans="1:15" x14ac:dyDescent="0.15">
      <c r="A9" t="s">
        <v>70</v>
      </c>
      <c r="B9" s="451">
        <v>28059.746003898636</v>
      </c>
      <c r="C9" s="451">
        <v>22507</v>
      </c>
      <c r="D9">
        <v>16612</v>
      </c>
      <c r="E9">
        <v>4978</v>
      </c>
      <c r="F9">
        <v>44279</v>
      </c>
      <c r="G9">
        <v>40130</v>
      </c>
      <c r="H9" s="452">
        <v>46305.562068788582</v>
      </c>
      <c r="I9" s="163"/>
      <c r="J9" s="163"/>
      <c r="K9" s="163"/>
      <c r="L9" s="163"/>
      <c r="M9" s="163"/>
      <c r="N9" s="163"/>
      <c r="O9" s="164"/>
    </row>
    <row r="10" spans="1:15" x14ac:dyDescent="0.15">
      <c r="A10" t="s">
        <v>62</v>
      </c>
      <c r="B10" s="451">
        <v>32671.934128658057</v>
      </c>
      <c r="C10" s="451">
        <v>29417.646135831383</v>
      </c>
      <c r="D10">
        <v>319440</v>
      </c>
      <c r="E10">
        <v>46494</v>
      </c>
      <c r="F10">
        <v>539790</v>
      </c>
      <c r="G10">
        <v>582650</v>
      </c>
      <c r="H10" s="452">
        <v>46305.562068788582</v>
      </c>
      <c r="I10" s="161"/>
      <c r="J10" s="161"/>
      <c r="K10" s="161"/>
      <c r="L10" s="161"/>
      <c r="M10" s="161"/>
      <c r="N10" s="161"/>
      <c r="O10" s="162"/>
    </row>
    <row r="11" spans="1:15" x14ac:dyDescent="0.15">
      <c r="A11" t="s">
        <v>72</v>
      </c>
      <c r="B11" s="451">
        <v>25651.27536889898</v>
      </c>
      <c r="C11" s="451">
        <v>20886.541785312853</v>
      </c>
      <c r="D11">
        <v>87880</v>
      </c>
      <c r="E11">
        <v>385399</v>
      </c>
      <c r="F11">
        <v>257440</v>
      </c>
      <c r="G11">
        <v>356331</v>
      </c>
      <c r="H11" s="452">
        <v>46305.562068788582</v>
      </c>
      <c r="I11" s="163"/>
      <c r="J11" s="163"/>
      <c r="K11" s="163"/>
      <c r="L11" s="163"/>
      <c r="M11" s="163"/>
      <c r="N11" s="163"/>
      <c r="O11" s="164"/>
    </row>
    <row r="12" spans="1:15" x14ac:dyDescent="0.15">
      <c r="A12" t="s">
        <v>67</v>
      </c>
      <c r="B12" s="451">
        <v>29134.107597788239</v>
      </c>
      <c r="C12" s="451">
        <v>27725.148468185387</v>
      </c>
      <c r="D12">
        <v>209388</v>
      </c>
      <c r="E12">
        <v>63583</v>
      </c>
      <c r="F12">
        <v>313939</v>
      </c>
      <c r="G12">
        <v>638384</v>
      </c>
      <c r="H12" s="452">
        <v>46305.562068788582</v>
      </c>
      <c r="I12" s="161"/>
      <c r="J12" s="161"/>
      <c r="K12" s="161"/>
      <c r="L12" s="161"/>
      <c r="M12" s="161"/>
      <c r="N12" s="161"/>
      <c r="O12" s="162"/>
    </row>
    <row r="13" spans="1:15" x14ac:dyDescent="0.15">
      <c r="A13" t="s">
        <v>66</v>
      </c>
      <c r="B13" s="451">
        <v>30607.449869327636</v>
      </c>
      <c r="C13" s="451">
        <v>29500.068856382979</v>
      </c>
      <c r="D13">
        <v>192351</v>
      </c>
      <c r="E13">
        <v>333628</v>
      </c>
      <c r="F13">
        <v>117621</v>
      </c>
      <c r="G13">
        <v>596289</v>
      </c>
      <c r="H13" s="452">
        <v>46305.562068788582</v>
      </c>
      <c r="I13" s="163"/>
      <c r="J13" s="163"/>
      <c r="K13" s="163"/>
      <c r="L13" s="163"/>
      <c r="M13" s="163"/>
      <c r="N13" s="163"/>
      <c r="O13" s="164"/>
    </row>
    <row r="14" spans="1:15" x14ac:dyDescent="0.15">
      <c r="A14" t="s">
        <v>78</v>
      </c>
      <c r="B14" s="451">
        <v>424.49988891551044</v>
      </c>
      <c r="C14" s="451">
        <v>298.79498952938593</v>
      </c>
      <c r="D14">
        <v>369474</v>
      </c>
      <c r="E14">
        <v>6000615</v>
      </c>
      <c r="F14">
        <v>39187</v>
      </c>
      <c r="G14">
        <v>17571287</v>
      </c>
      <c r="H14" s="452">
        <v>46305.562068788582</v>
      </c>
      <c r="I14" s="161"/>
      <c r="J14" s="161"/>
      <c r="K14" s="161"/>
      <c r="L14" s="161"/>
      <c r="M14" s="161"/>
      <c r="N14" s="161"/>
      <c r="O14" s="162"/>
    </row>
    <row r="15" spans="1:15" x14ac:dyDescent="0.15">
      <c r="A15" t="s">
        <v>74</v>
      </c>
      <c r="B15" s="451">
        <v>449.0363636363636</v>
      </c>
      <c r="C15" s="451">
        <v>340.40882759882453</v>
      </c>
      <c r="D15">
        <v>4356</v>
      </c>
      <c r="E15">
        <v>3682468</v>
      </c>
      <c r="F15">
        <v>78516</v>
      </c>
      <c r="G15">
        <v>14074565</v>
      </c>
      <c r="H15" s="452">
        <v>46305.562068788582</v>
      </c>
      <c r="I15" s="163"/>
      <c r="J15" s="163"/>
      <c r="K15" s="163"/>
      <c r="L15" s="163"/>
      <c r="M15" s="163"/>
      <c r="N15" s="163"/>
      <c r="O15" s="164"/>
    </row>
    <row r="16" spans="1:15" x14ac:dyDescent="0.15">
      <c r="A16" t="s">
        <v>80</v>
      </c>
      <c r="B16" s="451">
        <v>399.94314445096893</v>
      </c>
      <c r="C16" s="451">
        <v>291.43301498004843</v>
      </c>
      <c r="D16">
        <v>1923156</v>
      </c>
      <c r="E16">
        <v>2021289</v>
      </c>
      <c r="F16">
        <v>6066</v>
      </c>
      <c r="G16">
        <v>11150441</v>
      </c>
      <c r="H16" s="452">
        <v>46305.562068788582</v>
      </c>
      <c r="I16" s="161"/>
      <c r="J16" s="161"/>
      <c r="K16" s="161"/>
      <c r="L16" s="161"/>
      <c r="M16" s="161"/>
      <c r="N16" s="161"/>
      <c r="O16" s="162"/>
    </row>
    <row r="17" spans="1:15" x14ac:dyDescent="0.15">
      <c r="A17" t="s">
        <v>81</v>
      </c>
      <c r="B17" s="451">
        <v>1559.6602158948685</v>
      </c>
      <c r="C17" s="451">
        <v>284.8618273681235</v>
      </c>
      <c r="D17">
        <v>752984</v>
      </c>
      <c r="E17">
        <v>4764233</v>
      </c>
      <c r="F17">
        <v>14127</v>
      </c>
      <c r="G17">
        <v>10850199</v>
      </c>
      <c r="H17" s="452">
        <v>46305.562068788582</v>
      </c>
      <c r="I17" s="163"/>
      <c r="J17" s="163"/>
      <c r="K17" s="163"/>
      <c r="L17" s="163"/>
      <c r="M17" s="163"/>
      <c r="N17" s="163"/>
      <c r="O17" s="164"/>
    </row>
    <row r="18" spans="1:15" x14ac:dyDescent="0.15">
      <c r="A18" t="s">
        <v>83</v>
      </c>
      <c r="B18" s="451">
        <v>1574.5763696128561</v>
      </c>
      <c r="C18" s="451">
        <v>330.51522469143174</v>
      </c>
      <c r="D18">
        <v>57325</v>
      </c>
      <c r="E18">
        <v>13989054</v>
      </c>
      <c r="F18">
        <v>50015</v>
      </c>
      <c r="G18">
        <v>18663491</v>
      </c>
      <c r="H18" s="452">
        <v>46305.562068788582</v>
      </c>
      <c r="I18" s="161"/>
      <c r="J18" s="161"/>
      <c r="K18" s="161"/>
      <c r="L18" s="161"/>
      <c r="M18" s="161"/>
      <c r="N18" s="161"/>
      <c r="O18" s="162"/>
    </row>
    <row r="19" spans="1:15" x14ac:dyDescent="0.15">
      <c r="A19" t="s">
        <v>73</v>
      </c>
      <c r="B19" s="451">
        <v>1197.119496054976</v>
      </c>
      <c r="C19" s="451">
        <v>652.82629618997498</v>
      </c>
      <c r="D19">
        <v>559070</v>
      </c>
      <c r="E19">
        <v>11807996</v>
      </c>
      <c r="F19">
        <v>39110</v>
      </c>
      <c r="G19">
        <v>6714718</v>
      </c>
      <c r="H19" s="452">
        <v>46305.562068788582</v>
      </c>
      <c r="I19" s="163"/>
      <c r="J19" s="163"/>
      <c r="K19" s="163"/>
      <c r="L19" s="163"/>
      <c r="M19" s="163"/>
      <c r="N19" s="163"/>
      <c r="O19" s="164"/>
    </row>
    <row r="20" spans="1:15" x14ac:dyDescent="0.15">
      <c r="A20" t="s">
        <v>76</v>
      </c>
      <c r="B20" s="451">
        <v>974.53254521682277</v>
      </c>
      <c r="C20" s="451">
        <v>297.44150404447868</v>
      </c>
      <c r="D20">
        <v>370551</v>
      </c>
      <c r="E20">
        <v>10425712</v>
      </c>
      <c r="F20">
        <v>27079</v>
      </c>
      <c r="G20">
        <v>11198507</v>
      </c>
      <c r="H20" s="452">
        <v>46305.562068788582</v>
      </c>
      <c r="I20" s="161"/>
      <c r="J20" s="161"/>
      <c r="K20" s="161"/>
      <c r="L20" s="161"/>
      <c r="M20" s="161"/>
      <c r="N20" s="161"/>
      <c r="O20" s="162"/>
    </row>
    <row r="21" spans="1:15" x14ac:dyDescent="0.15">
      <c r="A21" t="s">
        <v>84</v>
      </c>
      <c r="B21" s="451">
        <v>999.2</v>
      </c>
      <c r="C21" s="451">
        <v>278.10000000000002</v>
      </c>
      <c r="D21">
        <v>4259</v>
      </c>
      <c r="E21">
        <v>13469935</v>
      </c>
      <c r="F21">
        <v>28700</v>
      </c>
      <c r="G21">
        <v>6667050</v>
      </c>
      <c r="H21" s="452">
        <v>46305.562068788582</v>
      </c>
      <c r="I21" s="163"/>
      <c r="J21" s="163"/>
      <c r="K21" s="163"/>
      <c r="L21" s="163"/>
      <c r="M21" s="163"/>
      <c r="N21" s="163"/>
      <c r="O21" s="164"/>
    </row>
    <row r="22" spans="1:15" x14ac:dyDescent="0.15">
      <c r="A22" t="s">
        <v>75</v>
      </c>
      <c r="B22" s="451">
        <v>437.1393493000341</v>
      </c>
      <c r="C22" s="451">
        <v>359.8461509122771</v>
      </c>
      <c r="D22">
        <v>163503</v>
      </c>
      <c r="E22">
        <v>7556028</v>
      </c>
      <c r="F22">
        <v>27121</v>
      </c>
      <c r="G22">
        <v>16062978</v>
      </c>
      <c r="H22" s="452">
        <v>46305.562068788582</v>
      </c>
      <c r="I22" s="161"/>
      <c r="J22" s="161"/>
      <c r="K22" s="161"/>
      <c r="L22" s="161"/>
      <c r="M22" s="161"/>
      <c r="N22" s="161"/>
      <c r="O22" s="162"/>
    </row>
    <row r="23" spans="1:15" x14ac:dyDescent="0.15">
      <c r="A23" t="s">
        <v>77</v>
      </c>
      <c r="B23" s="451">
        <v>596.9</v>
      </c>
      <c r="C23" s="451">
        <v>271.56202337728519</v>
      </c>
      <c r="D23">
        <v>10583</v>
      </c>
      <c r="E23">
        <v>13797103</v>
      </c>
      <c r="F23">
        <v>232384</v>
      </c>
      <c r="G23">
        <v>9826900</v>
      </c>
      <c r="H23" s="452">
        <v>46305.562068788582</v>
      </c>
      <c r="I23" s="163"/>
      <c r="J23" s="163"/>
      <c r="K23" s="163"/>
      <c r="L23" s="163"/>
      <c r="M23" s="163"/>
      <c r="N23" s="163"/>
      <c r="O23" s="164"/>
    </row>
    <row r="24" spans="1:15" x14ac:dyDescent="0.15">
      <c r="A24" t="s">
        <v>79</v>
      </c>
      <c r="B24" s="451">
        <v>409.04907565011814</v>
      </c>
      <c r="C24" s="451">
        <v>345.47113023945525</v>
      </c>
      <c r="D24">
        <v>1495779</v>
      </c>
      <c r="E24">
        <v>5643311</v>
      </c>
      <c r="F24">
        <v>8927</v>
      </c>
      <c r="G24">
        <v>21043533</v>
      </c>
      <c r="H24" s="452">
        <v>46305.562068788582</v>
      </c>
      <c r="I24" s="161"/>
      <c r="J24" s="161"/>
      <c r="K24" s="161"/>
      <c r="L24" s="161"/>
      <c r="M24" s="161"/>
      <c r="N24" s="161"/>
      <c r="O24" s="162"/>
    </row>
    <row r="25" spans="1:15" x14ac:dyDescent="0.15">
      <c r="A25" t="s">
        <v>82</v>
      </c>
      <c r="B25" s="451">
        <v>804.69976359338057</v>
      </c>
      <c r="C25" s="451">
        <v>333.78946672351242</v>
      </c>
      <c r="D25">
        <v>10791</v>
      </c>
      <c r="E25">
        <v>11006877</v>
      </c>
      <c r="F25">
        <v>18288</v>
      </c>
      <c r="G25">
        <v>19333086</v>
      </c>
      <c r="H25" s="452">
        <v>46305.562068788582</v>
      </c>
      <c r="I25" s="163"/>
      <c r="J25" s="163"/>
      <c r="K25" s="163"/>
      <c r="L25" s="163"/>
      <c r="M25" s="163"/>
      <c r="N25" s="163"/>
      <c r="O25" s="164"/>
    </row>
    <row r="26" spans="1:15" x14ac:dyDescent="0.15">
      <c r="A26" t="s">
        <v>56</v>
      </c>
      <c r="B26" s="451">
        <v>2331259.5375000001</v>
      </c>
      <c r="C26" s="451">
        <v>2220713.2238853504</v>
      </c>
      <c r="D26">
        <v>5294</v>
      </c>
      <c r="E26">
        <v>12806</v>
      </c>
      <c r="F26">
        <v>12150</v>
      </c>
      <c r="G26">
        <v>11340</v>
      </c>
      <c r="H26" s="452">
        <v>46305.562068788582</v>
      </c>
      <c r="I26" s="161"/>
      <c r="J26" s="161"/>
      <c r="K26" s="161"/>
      <c r="L26" s="161"/>
      <c r="M26" s="161"/>
      <c r="N26" s="161"/>
      <c r="O26" s="162"/>
    </row>
    <row r="27" spans="1:15" x14ac:dyDescent="0.15">
      <c r="A27" t="s">
        <v>51</v>
      </c>
      <c r="B27" s="451">
        <v>2599995.2868055557</v>
      </c>
      <c r="C27" s="451">
        <v>2250881.2685185182</v>
      </c>
      <c r="D27">
        <v>6323</v>
      </c>
      <c r="E27">
        <v>2247</v>
      </c>
      <c r="F27">
        <v>7315</v>
      </c>
      <c r="G27">
        <v>1719</v>
      </c>
      <c r="H27" s="452">
        <v>46305.562068788582</v>
      </c>
      <c r="I27" s="163"/>
      <c r="J27" s="163"/>
      <c r="K27" s="163"/>
      <c r="L27" s="163"/>
      <c r="M27" s="163"/>
      <c r="N27" s="163"/>
      <c r="O27" s="164"/>
    </row>
    <row r="28" spans="1:15" x14ac:dyDescent="0.15">
      <c r="A28" t="s">
        <v>55</v>
      </c>
      <c r="B28" s="451">
        <v>2067016.1491525422</v>
      </c>
      <c r="C28" s="451">
        <v>1658871.1061538463</v>
      </c>
      <c r="D28">
        <v>2442</v>
      </c>
      <c r="E28">
        <v>2935</v>
      </c>
      <c r="F28">
        <v>12387</v>
      </c>
      <c r="G28">
        <v>4712</v>
      </c>
      <c r="H28" s="452">
        <v>46305.562068788582</v>
      </c>
      <c r="I28" s="161"/>
      <c r="J28" s="161"/>
      <c r="K28" s="161"/>
      <c r="L28" s="161"/>
      <c r="M28" s="161"/>
      <c r="N28" s="161"/>
      <c r="O28" s="162"/>
    </row>
    <row r="29" spans="1:15" x14ac:dyDescent="0.15">
      <c r="A29" t="s">
        <v>59</v>
      </c>
      <c r="B29" s="451">
        <v>1645984.3200000003</v>
      </c>
      <c r="C29" s="451">
        <v>1351873.7242424241</v>
      </c>
      <c r="D29">
        <v>3996</v>
      </c>
      <c r="E29">
        <v>813</v>
      </c>
      <c r="F29">
        <v>6158</v>
      </c>
      <c r="G29">
        <v>4257</v>
      </c>
      <c r="H29" s="452">
        <v>46305.562068788582</v>
      </c>
      <c r="I29" s="163"/>
      <c r="J29" s="163"/>
      <c r="K29" s="163"/>
      <c r="L29" s="163"/>
      <c r="M29" s="163"/>
      <c r="N29" s="163"/>
      <c r="O29" s="164"/>
    </row>
    <row r="30" spans="1:15" x14ac:dyDescent="0.15">
      <c r="A30" t="s">
        <v>58</v>
      </c>
      <c r="B30" s="451">
        <v>2371617.4712765957</v>
      </c>
      <c r="C30" s="451">
        <v>1131396.5225</v>
      </c>
      <c r="D30">
        <v>4322</v>
      </c>
      <c r="E30">
        <v>6030</v>
      </c>
      <c r="F30">
        <v>8665</v>
      </c>
      <c r="G30">
        <v>5789</v>
      </c>
      <c r="H30" s="452">
        <v>46305.562068788582</v>
      </c>
      <c r="I30" s="161"/>
      <c r="J30" s="161"/>
      <c r="K30" s="161"/>
      <c r="L30" s="161"/>
      <c r="M30" s="161"/>
      <c r="N30" s="161"/>
      <c r="O30" s="162"/>
    </row>
    <row r="31" spans="1:15" x14ac:dyDescent="0.15">
      <c r="A31" t="s">
        <v>49</v>
      </c>
      <c r="B31" s="451">
        <v>5160837.25</v>
      </c>
      <c r="C31" s="451">
        <v>4886129.96</v>
      </c>
      <c r="D31">
        <v>681</v>
      </c>
      <c r="E31">
        <v>1690</v>
      </c>
      <c r="F31">
        <v>13163</v>
      </c>
      <c r="G31">
        <v>3225</v>
      </c>
      <c r="H31" s="452">
        <v>46305.562068788582</v>
      </c>
      <c r="I31" s="163"/>
      <c r="J31" s="163"/>
      <c r="K31" s="163"/>
      <c r="L31" s="163"/>
      <c r="M31" s="163"/>
      <c r="N31" s="163"/>
      <c r="O31" s="164"/>
    </row>
    <row r="32" spans="1:15" x14ac:dyDescent="0.15">
      <c r="A32" t="s">
        <v>52</v>
      </c>
      <c r="B32" s="451">
        <v>1945865.1136363635</v>
      </c>
      <c r="C32" s="451">
        <v>1213819.3058823529</v>
      </c>
      <c r="D32">
        <v>1000</v>
      </c>
      <c r="E32">
        <v>1269</v>
      </c>
      <c r="F32">
        <v>8544</v>
      </c>
      <c r="G32">
        <v>4653</v>
      </c>
      <c r="H32" s="452">
        <v>46305.562068788582</v>
      </c>
      <c r="I32" s="161"/>
      <c r="J32" s="161"/>
      <c r="K32" s="161"/>
      <c r="L32" s="161"/>
      <c r="M32" s="161"/>
      <c r="N32" s="161"/>
      <c r="O32" s="162"/>
    </row>
    <row r="33" spans="1:15" x14ac:dyDescent="0.15">
      <c r="A33" t="s">
        <v>57</v>
      </c>
      <c r="B33" s="451">
        <v>2453418.1949999998</v>
      </c>
      <c r="C33" s="451">
        <v>2127624.7552941176</v>
      </c>
      <c r="D33">
        <v>989</v>
      </c>
      <c r="E33">
        <v>3821</v>
      </c>
      <c r="F33">
        <v>2319</v>
      </c>
      <c r="G33">
        <v>955</v>
      </c>
      <c r="H33" s="452">
        <v>46305.562068788582</v>
      </c>
      <c r="I33" s="163"/>
      <c r="J33" s="163"/>
      <c r="K33" s="163"/>
      <c r="L33" s="163"/>
      <c r="M33" s="163"/>
      <c r="N33" s="163"/>
      <c r="O33" s="164"/>
    </row>
    <row r="34" spans="1:15" x14ac:dyDescent="0.15">
      <c r="A34" t="s">
        <v>50</v>
      </c>
      <c r="B34" s="451">
        <v>2679982.6601851853</v>
      </c>
      <c r="C34" s="451">
        <v>2428673.406521739</v>
      </c>
      <c r="D34">
        <v>5304</v>
      </c>
      <c r="E34">
        <v>11262</v>
      </c>
      <c r="F34">
        <v>22216</v>
      </c>
      <c r="G34">
        <v>10278</v>
      </c>
      <c r="H34" s="452">
        <v>46305.562068788582</v>
      </c>
      <c r="I34" s="161"/>
      <c r="J34" s="161"/>
      <c r="K34" s="161"/>
      <c r="L34" s="161"/>
      <c r="M34" s="161"/>
      <c r="N34" s="161"/>
      <c r="O34" s="162"/>
    </row>
    <row r="35" spans="1:15" x14ac:dyDescent="0.15">
      <c r="A35" t="s">
        <v>60</v>
      </c>
      <c r="B35" s="451">
        <v>2013632.1663716815</v>
      </c>
      <c r="C35" s="451">
        <v>1800000.0016574587</v>
      </c>
      <c r="D35">
        <v>5128</v>
      </c>
      <c r="E35">
        <v>1396</v>
      </c>
      <c r="F35">
        <v>11684</v>
      </c>
      <c r="G35">
        <v>3990</v>
      </c>
      <c r="H35" s="452">
        <v>46305.562068788582</v>
      </c>
      <c r="I35" s="163"/>
      <c r="J35" s="163"/>
      <c r="K35" s="163"/>
      <c r="L35" s="163"/>
      <c r="M35" s="163"/>
      <c r="N35" s="163"/>
      <c r="O35" s="164"/>
    </row>
    <row r="36" spans="1:15" x14ac:dyDescent="0.15">
      <c r="A36" t="s">
        <v>53</v>
      </c>
      <c r="B36" s="451">
        <v>2399993.6764044943</v>
      </c>
      <c r="C36" s="451">
        <v>2058311.3064748202</v>
      </c>
      <c r="D36">
        <v>16811</v>
      </c>
      <c r="E36">
        <v>6042</v>
      </c>
      <c r="F36">
        <v>17704</v>
      </c>
      <c r="G36">
        <v>6163</v>
      </c>
      <c r="H36" s="452">
        <v>46305.562068788582</v>
      </c>
      <c r="I36" s="161"/>
      <c r="J36" s="161"/>
      <c r="K36" s="161"/>
      <c r="L36" s="161"/>
      <c r="M36" s="161"/>
      <c r="N36" s="161"/>
      <c r="O36" s="162"/>
    </row>
    <row r="37" spans="1:15" x14ac:dyDescent="0.15">
      <c r="A37" t="s">
        <v>54</v>
      </c>
      <c r="B37" s="451">
        <v>2468588.7999999998</v>
      </c>
      <c r="C37" s="451">
        <v>2265555.0222857143</v>
      </c>
      <c r="D37">
        <v>19</v>
      </c>
      <c r="E37">
        <v>6465</v>
      </c>
      <c r="F37">
        <v>7230</v>
      </c>
      <c r="G37">
        <v>3973</v>
      </c>
      <c r="H37" s="452">
        <v>46305.562068788582</v>
      </c>
      <c r="I37" s="163"/>
      <c r="J37" s="163"/>
      <c r="K37" s="163"/>
      <c r="L37" s="163"/>
      <c r="M37" s="163"/>
      <c r="N37" s="163"/>
      <c r="O37" s="164"/>
    </row>
    <row r="38" spans="1:15" x14ac:dyDescent="0.15">
      <c r="A38" t="s">
        <v>144</v>
      </c>
      <c r="B38" s="451">
        <v>250299.21247771833</v>
      </c>
      <c r="C38" s="451">
        <v>225374.50520833334</v>
      </c>
      <c r="D38">
        <v>6932</v>
      </c>
      <c r="E38">
        <v>3773</v>
      </c>
      <c r="F38">
        <v>51271</v>
      </c>
      <c r="G38">
        <v>35441</v>
      </c>
      <c r="H38" s="452">
        <v>46305.562068788582</v>
      </c>
      <c r="I38" s="161"/>
      <c r="J38" s="161"/>
      <c r="K38" s="161"/>
      <c r="L38" s="161"/>
      <c r="M38" s="161"/>
      <c r="N38" s="161"/>
      <c r="O38" s="162"/>
    </row>
    <row r="39" spans="1:15" x14ac:dyDescent="0.15">
      <c r="A39" t="s">
        <v>33</v>
      </c>
      <c r="B39" s="451">
        <v>15151234.541333335</v>
      </c>
      <c r="C39" s="451">
        <v>14099510.648148147</v>
      </c>
      <c r="D39">
        <v>2563</v>
      </c>
      <c r="E39">
        <v>3750</v>
      </c>
      <c r="F39">
        <v>5944</v>
      </c>
      <c r="G39">
        <v>1952</v>
      </c>
      <c r="H39" s="452">
        <v>46305.562068788582</v>
      </c>
      <c r="I39" s="163"/>
      <c r="J39" s="163"/>
      <c r="K39" s="163"/>
      <c r="L39" s="163"/>
      <c r="M39" s="163"/>
      <c r="N39" s="163"/>
      <c r="O39" s="164"/>
    </row>
    <row r="40" spans="1:15" x14ac:dyDescent="0.15">
      <c r="A40" t="s">
        <v>36</v>
      </c>
      <c r="B40" s="451">
        <v>13400289.721621621</v>
      </c>
      <c r="C40" s="451">
        <v>12458500</v>
      </c>
      <c r="D40">
        <v>1549</v>
      </c>
      <c r="E40">
        <v>292</v>
      </c>
      <c r="F40">
        <v>1163</v>
      </c>
      <c r="G40">
        <v>394</v>
      </c>
      <c r="H40" s="452">
        <v>46305.562068788582</v>
      </c>
      <c r="I40" s="161"/>
      <c r="J40" s="161"/>
      <c r="K40" s="161"/>
      <c r="L40" s="161"/>
      <c r="M40" s="161"/>
      <c r="N40" s="161"/>
      <c r="O40" s="162"/>
    </row>
    <row r="41" spans="1:15" x14ac:dyDescent="0.15">
      <c r="A41" t="s">
        <v>24</v>
      </c>
      <c r="B41" s="451">
        <v>13525669.5</v>
      </c>
      <c r="C41" s="451">
        <v>11546080.558333335</v>
      </c>
      <c r="D41">
        <v>996</v>
      </c>
      <c r="E41">
        <v>1051</v>
      </c>
      <c r="F41">
        <v>2755</v>
      </c>
      <c r="G41">
        <v>664</v>
      </c>
      <c r="H41" s="452">
        <v>46305.562068788582</v>
      </c>
      <c r="I41" s="163"/>
      <c r="J41" s="163"/>
      <c r="K41" s="163"/>
      <c r="L41" s="163"/>
      <c r="M41" s="163"/>
      <c r="N41" s="163"/>
      <c r="O41" s="164"/>
    </row>
    <row r="42" spans="1:15" x14ac:dyDescent="0.15">
      <c r="A42" t="s">
        <v>41</v>
      </c>
      <c r="B42" s="451">
        <v>13602081.847619047</v>
      </c>
      <c r="C42" s="451">
        <v>11977926.990624998</v>
      </c>
      <c r="D42">
        <v>894</v>
      </c>
      <c r="E42">
        <v>1503</v>
      </c>
      <c r="F42">
        <v>1711</v>
      </c>
      <c r="G42">
        <v>643</v>
      </c>
      <c r="H42" s="452">
        <v>46305.562068788582</v>
      </c>
      <c r="I42" s="161"/>
      <c r="J42" s="161"/>
      <c r="K42" s="161"/>
      <c r="L42" s="161"/>
      <c r="M42" s="161"/>
      <c r="N42" s="161"/>
      <c r="O42" s="162"/>
    </row>
    <row r="43" spans="1:15" x14ac:dyDescent="0.15">
      <c r="A43" t="s">
        <v>39</v>
      </c>
      <c r="B43" s="451">
        <v>14999998.235714287</v>
      </c>
      <c r="C43" s="451">
        <v>14022540.942424247</v>
      </c>
      <c r="D43">
        <v>1130</v>
      </c>
      <c r="E43">
        <v>3267</v>
      </c>
      <c r="F43">
        <v>5362</v>
      </c>
      <c r="G43">
        <v>2138</v>
      </c>
      <c r="H43" s="452">
        <v>46305.562068788582</v>
      </c>
      <c r="I43" s="163"/>
      <c r="J43" s="163"/>
      <c r="K43" s="163"/>
      <c r="L43" s="163"/>
      <c r="M43" s="163"/>
      <c r="N43" s="163"/>
      <c r="O43" s="164"/>
    </row>
    <row r="44" spans="1:15" x14ac:dyDescent="0.15">
      <c r="A44" t="s">
        <v>16</v>
      </c>
      <c r="B44" s="451">
        <v>29406831.150000002</v>
      </c>
      <c r="C44" s="451">
        <v>28168462.801408451</v>
      </c>
      <c r="D44">
        <v>174</v>
      </c>
      <c r="E44">
        <v>1650</v>
      </c>
      <c r="F44">
        <v>2399</v>
      </c>
      <c r="G44">
        <v>1182</v>
      </c>
      <c r="H44" s="452">
        <v>46305.562068788582</v>
      </c>
      <c r="I44" s="161"/>
      <c r="J44" s="161"/>
      <c r="K44" s="161"/>
      <c r="L44" s="161"/>
      <c r="M44" s="161"/>
      <c r="N44" s="161"/>
      <c r="O44" s="162"/>
    </row>
    <row r="45" spans="1:15" x14ac:dyDescent="0.15">
      <c r="A45" t="s">
        <v>19</v>
      </c>
      <c r="B45" s="451">
        <v>17680651.219999999</v>
      </c>
      <c r="C45" s="451">
        <v>15115964.244444443</v>
      </c>
      <c r="D45">
        <v>493</v>
      </c>
      <c r="E45">
        <v>425</v>
      </c>
      <c r="F45">
        <v>2838</v>
      </c>
      <c r="G45">
        <v>1416</v>
      </c>
      <c r="H45" s="452">
        <v>46305.562068788582</v>
      </c>
      <c r="I45" s="163"/>
      <c r="J45" s="163"/>
      <c r="K45" s="163"/>
      <c r="L45" s="163"/>
      <c r="M45" s="163"/>
      <c r="N45" s="163"/>
      <c r="O45" s="164"/>
    </row>
    <row r="46" spans="1:15" x14ac:dyDescent="0.15">
      <c r="A46" t="s">
        <v>44</v>
      </c>
      <c r="B46" s="451">
        <v>13202096.48</v>
      </c>
      <c r="C46" s="451">
        <v>10521028.720454546</v>
      </c>
      <c r="D46">
        <v>159</v>
      </c>
      <c r="E46">
        <v>2024</v>
      </c>
      <c r="F46">
        <v>799</v>
      </c>
      <c r="G46">
        <v>314</v>
      </c>
      <c r="H46" s="452">
        <v>46305.562068788582</v>
      </c>
      <c r="I46" s="161"/>
      <c r="J46" s="161"/>
      <c r="K46" s="161"/>
      <c r="L46" s="161"/>
      <c r="M46" s="161"/>
      <c r="N46" s="161"/>
      <c r="O46" s="162"/>
    </row>
    <row r="47" spans="1:15" x14ac:dyDescent="0.15">
      <c r="A47" t="s">
        <v>22</v>
      </c>
      <c r="B47" s="451">
        <v>21692982.921428569</v>
      </c>
      <c r="C47" s="451">
        <v>20696278.978947371</v>
      </c>
      <c r="D47">
        <v>289</v>
      </c>
      <c r="E47">
        <v>1263</v>
      </c>
      <c r="F47">
        <v>3714</v>
      </c>
      <c r="G47">
        <v>1906</v>
      </c>
      <c r="H47" s="452">
        <v>46305.562068788582</v>
      </c>
      <c r="I47" s="163"/>
      <c r="J47" s="163"/>
      <c r="K47" s="163"/>
      <c r="L47" s="163"/>
      <c r="M47" s="163"/>
      <c r="N47" s="163"/>
      <c r="O47" s="164"/>
    </row>
    <row r="48" spans="1:15" x14ac:dyDescent="0.15">
      <c r="A48" t="s">
        <v>46</v>
      </c>
      <c r="B48" s="451">
        <v>11731607.574999999</v>
      </c>
      <c r="C48" s="451">
        <v>9500002.8406250011</v>
      </c>
      <c r="D48">
        <v>117</v>
      </c>
      <c r="E48">
        <v>1410</v>
      </c>
      <c r="F48">
        <v>775</v>
      </c>
      <c r="G48">
        <v>299</v>
      </c>
      <c r="H48" s="452">
        <v>46305.562068788582</v>
      </c>
      <c r="I48" s="161"/>
      <c r="J48" s="161"/>
      <c r="K48" s="161"/>
      <c r="L48" s="161"/>
      <c r="M48" s="161"/>
      <c r="N48" s="161"/>
      <c r="O48" s="162"/>
    </row>
    <row r="49" spans="1:15" x14ac:dyDescent="0.15">
      <c r="A49" t="s">
        <v>27</v>
      </c>
      <c r="B49" s="451">
        <v>15657513.278947368</v>
      </c>
      <c r="C49" s="451">
        <v>14736247.316</v>
      </c>
      <c r="D49">
        <v>613</v>
      </c>
      <c r="E49">
        <v>1100</v>
      </c>
      <c r="F49">
        <v>4356</v>
      </c>
      <c r="G49">
        <v>1032</v>
      </c>
      <c r="H49" s="452">
        <v>46305.562068788582</v>
      </c>
      <c r="I49" s="163"/>
      <c r="J49" s="163"/>
      <c r="K49" s="163"/>
      <c r="L49" s="163"/>
      <c r="M49" s="163"/>
      <c r="N49" s="163"/>
      <c r="O49" s="164"/>
    </row>
    <row r="50" spans="1:15" x14ac:dyDescent="0.15">
      <c r="A50" t="s">
        <v>30</v>
      </c>
      <c r="B50" s="451">
        <v>16144143</v>
      </c>
      <c r="C50" s="451">
        <v>14458824.113333333</v>
      </c>
      <c r="D50">
        <v>401</v>
      </c>
      <c r="E50">
        <v>1270</v>
      </c>
      <c r="F50">
        <v>3534</v>
      </c>
      <c r="G50">
        <v>1272</v>
      </c>
      <c r="H50" s="452">
        <v>46305.562068788582</v>
      </c>
      <c r="I50" s="161"/>
      <c r="J50" s="161"/>
      <c r="K50" s="161"/>
      <c r="L50" s="161"/>
      <c r="M50" s="161"/>
      <c r="N50" s="161"/>
      <c r="O50" s="162"/>
    </row>
    <row r="51" spans="1:15" x14ac:dyDescent="0.15">
      <c r="A51" s="33" t="s">
        <v>146</v>
      </c>
      <c r="B51" s="451">
        <v>949992.84579439252</v>
      </c>
      <c r="C51" s="451">
        <v>900141.25480769225</v>
      </c>
      <c r="D51">
        <v>4507</v>
      </c>
      <c r="E51">
        <v>2314</v>
      </c>
      <c r="F51">
        <v>54846</v>
      </c>
      <c r="G51">
        <v>22831</v>
      </c>
      <c r="H51" s="452">
        <v>46305.562068788582</v>
      </c>
      <c r="I51" s="163"/>
      <c r="J51" s="163"/>
      <c r="K51" s="163"/>
      <c r="L51" s="163"/>
      <c r="M51" s="163"/>
      <c r="N51" s="163"/>
      <c r="O51" s="164"/>
    </row>
    <row r="52" spans="1:15" x14ac:dyDescent="0.15">
      <c r="A52" s="33" t="s">
        <v>90</v>
      </c>
      <c r="B52" s="451">
        <v>4.9461000493093223</v>
      </c>
      <c r="C52" s="451">
        <v>2.5</v>
      </c>
      <c r="D52">
        <v>12304305</v>
      </c>
      <c r="E52">
        <v>2746401</v>
      </c>
      <c r="F52">
        <v>187024</v>
      </c>
      <c r="G52">
        <v>156077326</v>
      </c>
      <c r="H52" s="452">
        <v>46305.562068788582</v>
      </c>
      <c r="I52" s="161"/>
      <c r="J52" s="161"/>
      <c r="K52" s="161"/>
      <c r="L52" s="161"/>
      <c r="M52" s="161"/>
      <c r="N52" s="161"/>
      <c r="O52" s="162"/>
    </row>
    <row r="53" spans="1:15" x14ac:dyDescent="0.15">
      <c r="A53" t="s">
        <v>93</v>
      </c>
      <c r="B53" s="451">
        <v>4.7948876298119636</v>
      </c>
      <c r="C53" s="451">
        <v>1</v>
      </c>
      <c r="D53">
        <v>215459</v>
      </c>
      <c r="E53">
        <v>1819637</v>
      </c>
      <c r="F53">
        <v>59149</v>
      </c>
      <c r="G53">
        <v>209045703</v>
      </c>
      <c r="H53" s="452">
        <v>46305.562068788582</v>
      </c>
      <c r="I53" s="163"/>
      <c r="J53" s="163"/>
      <c r="K53" s="163"/>
      <c r="L53" s="163"/>
      <c r="M53" s="163"/>
      <c r="N53" s="163"/>
      <c r="O53" s="164"/>
    </row>
    <row r="54" spans="1:15" x14ac:dyDescent="0.15">
      <c r="A54" t="s">
        <v>91</v>
      </c>
      <c r="B54" s="451">
        <v>11.670113229220796</v>
      </c>
      <c r="C54" s="451">
        <v>1</v>
      </c>
      <c r="D54">
        <v>2802364</v>
      </c>
      <c r="E54">
        <v>4056121</v>
      </c>
      <c r="F54">
        <v>9621</v>
      </c>
      <c r="G54">
        <v>130935835</v>
      </c>
      <c r="H54" s="452">
        <v>46305.562068788582</v>
      </c>
      <c r="I54" s="161"/>
      <c r="J54" s="161"/>
      <c r="K54" s="161"/>
      <c r="L54" s="161"/>
      <c r="M54" s="161"/>
      <c r="N54" s="161"/>
      <c r="O54" s="162"/>
    </row>
    <row r="55" spans="1:15" x14ac:dyDescent="0.15">
      <c r="A55" t="s">
        <v>92</v>
      </c>
      <c r="B55" s="451">
        <v>20.508377440477986</v>
      </c>
      <c r="C55" s="451">
        <v>1.4</v>
      </c>
      <c r="D55">
        <v>5366122</v>
      </c>
      <c r="E55">
        <v>1519320</v>
      </c>
      <c r="F55">
        <v>655678</v>
      </c>
      <c r="G55">
        <v>114532091</v>
      </c>
      <c r="H55" s="452">
        <v>46305.562068788582</v>
      </c>
      <c r="I55" s="163"/>
      <c r="J55" s="163"/>
      <c r="K55" s="163"/>
      <c r="L55" s="163"/>
      <c r="M55" s="163"/>
      <c r="N55" s="163"/>
      <c r="O55" s="164"/>
    </row>
    <row r="56" spans="1:15" x14ac:dyDescent="0.15">
      <c r="A56" t="s">
        <v>95</v>
      </c>
      <c r="B56" s="451">
        <v>3.0800173160173161</v>
      </c>
      <c r="C56" s="451">
        <v>0.70000000000000007</v>
      </c>
      <c r="D56">
        <v>5629435</v>
      </c>
      <c r="E56">
        <v>4262261</v>
      </c>
      <c r="F56">
        <v>169239</v>
      </c>
      <c r="G56">
        <v>177106638</v>
      </c>
      <c r="H56" s="452">
        <v>46305.562068788582</v>
      </c>
      <c r="I56" s="161"/>
      <c r="J56" s="161"/>
      <c r="K56" s="161"/>
      <c r="L56" s="161"/>
      <c r="M56" s="161"/>
      <c r="N56" s="161"/>
      <c r="O56" s="162"/>
    </row>
    <row r="57" spans="1:15" x14ac:dyDescent="0.15">
      <c r="A57" t="s">
        <v>85</v>
      </c>
      <c r="B57" s="451">
        <v>33.970081387349268</v>
      </c>
      <c r="C57" s="451">
        <v>6.4647974949373728</v>
      </c>
      <c r="D57">
        <v>2103787</v>
      </c>
      <c r="E57">
        <v>12211255</v>
      </c>
      <c r="F57">
        <v>12654</v>
      </c>
      <c r="G57">
        <v>51336382</v>
      </c>
      <c r="H57" s="452">
        <v>46305.562068788582</v>
      </c>
      <c r="I57" s="163"/>
      <c r="J57" s="163"/>
      <c r="K57" s="163"/>
      <c r="L57" s="163"/>
      <c r="M57" s="163"/>
      <c r="N57" s="163"/>
      <c r="O57" s="164"/>
    </row>
    <row r="58" spans="1:15" x14ac:dyDescent="0.15">
      <c r="A58" t="s">
        <v>87</v>
      </c>
      <c r="B58" s="451">
        <v>4.0375583203732504</v>
      </c>
      <c r="C58" s="451">
        <v>0.8</v>
      </c>
      <c r="D58">
        <v>3360820</v>
      </c>
      <c r="E58">
        <v>1973696</v>
      </c>
      <c r="F58">
        <v>506112</v>
      </c>
      <c r="G58">
        <v>111830682</v>
      </c>
      <c r="H58" s="452">
        <v>46305.562068788582</v>
      </c>
      <c r="I58" s="161"/>
      <c r="J58" s="161"/>
      <c r="K58" s="161"/>
      <c r="L58" s="161"/>
      <c r="M58" s="161"/>
      <c r="N58" s="161"/>
      <c r="O58" s="162"/>
    </row>
    <row r="59" spans="1:15" x14ac:dyDescent="0.15">
      <c r="A59" t="s">
        <v>96</v>
      </c>
      <c r="B59" s="451">
        <v>19.599955377063811</v>
      </c>
      <c r="C59" s="451">
        <v>1.3</v>
      </c>
      <c r="D59">
        <v>780535</v>
      </c>
      <c r="E59">
        <v>3364424</v>
      </c>
      <c r="F59">
        <v>15802</v>
      </c>
      <c r="G59">
        <v>15369700</v>
      </c>
      <c r="H59" s="452">
        <v>46305.562068788582</v>
      </c>
      <c r="I59" s="163"/>
      <c r="J59" s="163"/>
      <c r="K59" s="163"/>
      <c r="L59" s="163"/>
      <c r="M59" s="163"/>
      <c r="N59" s="163"/>
      <c r="O59" s="164"/>
    </row>
    <row r="60" spans="1:15" x14ac:dyDescent="0.15">
      <c r="A60" t="s">
        <v>89</v>
      </c>
      <c r="B60" s="451">
        <v>11.037282948754731</v>
      </c>
      <c r="C60" s="451">
        <v>1.4</v>
      </c>
      <c r="D60">
        <v>24542343</v>
      </c>
      <c r="E60">
        <v>4832962</v>
      </c>
      <c r="F60">
        <v>8409</v>
      </c>
      <c r="G60">
        <v>145735077</v>
      </c>
      <c r="H60" s="452">
        <v>46305.562068788582</v>
      </c>
      <c r="I60" s="161"/>
      <c r="J60" s="161"/>
      <c r="K60" s="161"/>
      <c r="L60" s="161"/>
      <c r="M60" s="161"/>
      <c r="N60" s="161"/>
      <c r="O60" s="162"/>
    </row>
    <row r="61" spans="1:15" x14ac:dyDescent="0.15">
      <c r="A61" t="s">
        <v>94</v>
      </c>
      <c r="B61" s="451">
        <v>8.9215730164170655</v>
      </c>
      <c r="C61" s="451">
        <v>1.5</v>
      </c>
      <c r="D61">
        <v>4043722</v>
      </c>
      <c r="E61">
        <v>3040092</v>
      </c>
      <c r="F61">
        <v>518730</v>
      </c>
      <c r="G61">
        <v>104933625</v>
      </c>
      <c r="H61" s="452">
        <v>46305.562068788582</v>
      </c>
      <c r="I61" s="163"/>
      <c r="J61" s="163"/>
      <c r="K61" s="163"/>
      <c r="L61" s="163"/>
      <c r="M61" s="163"/>
      <c r="N61" s="163"/>
      <c r="O61" s="164"/>
    </row>
    <row r="62" spans="1:15" x14ac:dyDescent="0.15">
      <c r="A62" t="s">
        <v>88</v>
      </c>
      <c r="B62" s="451">
        <v>27.8777840648196</v>
      </c>
      <c r="C62" s="451">
        <v>4.2</v>
      </c>
      <c r="D62">
        <v>36279848</v>
      </c>
      <c r="E62">
        <v>4106028</v>
      </c>
      <c r="F62">
        <v>666927</v>
      </c>
      <c r="G62">
        <v>350487401</v>
      </c>
      <c r="H62" s="452">
        <v>46305.562068788582</v>
      </c>
      <c r="I62" s="161"/>
      <c r="J62" s="161"/>
      <c r="K62" s="161"/>
      <c r="L62" s="161"/>
      <c r="M62" s="161"/>
      <c r="N62" s="161"/>
      <c r="O62" s="162"/>
    </row>
    <row r="63" spans="1:15" x14ac:dyDescent="0.15">
      <c r="A63" t="s">
        <v>86</v>
      </c>
      <c r="B63" s="451">
        <v>5.6340713738257966</v>
      </c>
      <c r="C63" s="451">
        <v>1</v>
      </c>
      <c r="D63">
        <v>14150932</v>
      </c>
      <c r="E63">
        <v>1999182</v>
      </c>
      <c r="F63">
        <v>1232977</v>
      </c>
      <c r="G63">
        <v>285226788</v>
      </c>
      <c r="H63" s="452">
        <v>46305.562068788582</v>
      </c>
      <c r="I63" s="165"/>
      <c r="J63" s="165"/>
      <c r="K63" s="165"/>
      <c r="L63" s="165"/>
      <c r="M63" s="165"/>
      <c r="N63" s="165"/>
      <c r="O63" s="166"/>
    </row>
  </sheetData>
  <phoneticPr fontId="2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0085A-51FC-47E7-92AB-D2DDF2DEA0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Estimation</vt:lpstr>
      <vt:lpstr>FlipCal</vt:lpstr>
      <vt:lpstr>GemName</vt:lpstr>
      <vt:lpstr>ResolveSwagger</vt:lpstr>
      <vt:lpstr>SwaggerAPI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Q7an</dc:creator>
  <cp:lastModifiedBy>NyaU QIAN</cp:lastModifiedBy>
  <dcterms:created xsi:type="dcterms:W3CDTF">2025-11-22T05:34:00Z</dcterms:created>
  <dcterms:modified xsi:type="dcterms:W3CDTF">2026-10-10T06:07:42Z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7EA80545CEEC4BB38FA008DAC3942D44_11</vt:lpwstr>
  </property>
  <property fmtid="{D5CDD505-2E9C-101B-9397-08002B2CF9AE}" pid="3" name="KSOProductBuildVer">
    <vt:lpwstr>2052-12.1.0.23542</vt:lpwstr>
  </property>
</Properties>
</file>